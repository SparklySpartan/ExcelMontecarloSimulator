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os\OneDrive\Documents\Excel Projects\"/>
    </mc:Choice>
  </mc:AlternateContent>
  <xr:revisionPtr revIDLastSave="0" documentId="8_{79CA399F-4A2C-4D38-BD4C-B68D2F07BF4A}" xr6:coauthVersionLast="47" xr6:coauthVersionMax="47" xr10:uidLastSave="{00000000-0000-0000-0000-000000000000}"/>
  <bookViews>
    <workbookView xWindow="-120" yWindow="-120" windowWidth="29040" windowHeight="16440" xr2:uid="{5ACB95AC-5176-48B0-8940-4BEB0D70D1A1}"/>
  </bookViews>
  <sheets>
    <sheet name="Ruleset Tester" sheetId="1" r:id="rId1"/>
    <sheet name="Data" sheetId="2" r:id="rId2"/>
  </sheets>
  <functionGroups builtInGroupCount="19"/>
  <definedNames>
    <definedName name="ComeOutRule11">'Ruleset Tester'!$I$25:$I$26</definedName>
    <definedName name="ComeOutRule12">'Ruleset Tester'!$K$25:$K$26</definedName>
    <definedName name="ComeOutRule2">'Ruleset Tester'!$C$25:$C$26</definedName>
    <definedName name="ComeOutRule3">'Ruleset Tester'!$E$25:$E$26</definedName>
    <definedName name="ComeOutRule7">'Ruleset Tester'!$G$25:$G$26</definedName>
    <definedName name="HistoryTableAmountFilled">Data!$S$14</definedName>
    <definedName name="HouseWins">Data!$C$9</definedName>
    <definedName name="LinesPrinted">'Ruleset Tester'!$X$5</definedName>
    <definedName name="LogAmount">'Ruleset Tester'!$C$52</definedName>
    <definedName name="Repetitions">Data!$C$6</definedName>
    <definedName name="RulesetIsInList">Data!$S$7</definedName>
    <definedName name="RulesetNameInputBox">'Ruleset Tester'!$D$11</definedName>
    <definedName name="RulesetNames">Rulesets[Name]</definedName>
    <definedName name="RulesetRowIndex">Data!$S$8</definedName>
    <definedName name="SubsequentRule11">'Ruleset Tester'!$I$36:$I$37</definedName>
    <definedName name="SubsequentRule12">'Ruleset Tester'!$K$36:$K$37</definedName>
    <definedName name="SubsequentRule2">'Ruleset Tester'!$C$36:$C$37</definedName>
    <definedName name="SubsequentRule3">'Ruleset Tester'!$E$36:$E$37</definedName>
    <definedName name="SubsequentRule7">'Ruleset Tester'!$G$36:$G$37</definedName>
    <definedName name="UserInputOdds">'Ruleset Tester'!$F$44</definedName>
    <definedName name="UserInputRepetitions">'Ruleset Tester'!$C$44</definedName>
    <definedName name="UserInputRepititions">'Ruleset Tester'!$C$44</definedName>
    <definedName name="WinLosePush">Data!$R$23:$R$25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6" i="1" l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S7" i="2"/>
  <c r="S8" i="2" s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14" i="2"/>
  <c r="T10" i="1"/>
  <c r="T11" i="1"/>
  <c r="T16" i="1"/>
  <c r="T15" i="1"/>
  <c r="T17" i="1"/>
  <c r="T20" i="1"/>
  <c r="T18" i="1"/>
  <c r="T19" i="1"/>
  <c r="T6" i="1" l="1"/>
  <c r="T7" i="1"/>
  <c r="T8" i="1"/>
  <c r="T9" i="1"/>
  <c r="T12" i="1"/>
  <c r="T13" i="1"/>
  <c r="S6" i="1"/>
  <c r="T14" i="1"/>
  <c r="C10" i="2"/>
  <c r="D10" i="2" s="1"/>
  <c r="C9" i="2"/>
  <c r="D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Jonathon Leach</author>
  </authors>
  <commentList>
    <comment ref="V6" authorId="0" shapeId="0" xr:uid="{A1FC75FC-50F5-4A2C-AD85-E6AE1DF35D26}">
      <text>
        <r>
          <rPr>
            <b/>
            <sz val="9"/>
            <color indexed="81"/>
            <rFont val="Tahoma"/>
            <family val="2"/>
          </rPr>
          <t>Jonathon Leach:</t>
        </r>
        <r>
          <rPr>
            <sz val="9"/>
            <color indexed="81"/>
            <rFont val="Tahoma"/>
            <family val="2"/>
          </rPr>
          <t xml:space="preserve">
Can be:
Win (Which puts a multiplier of 1), Lose, Push, or a positive number which would imply winning and represent the multiplier for winning</t>
        </r>
      </text>
    </comment>
  </commentList>
</comments>
</file>

<file path=xl/sharedStrings.xml><?xml version="1.0" encoding="utf-8"?>
<sst xmlns="http://schemas.openxmlformats.org/spreadsheetml/2006/main" count="1285" uniqueCount="144">
  <si>
    <t>Amount of Games</t>
  </si>
  <si>
    <t>Games won by house</t>
  </si>
  <si>
    <t>Games won by Players</t>
  </si>
  <si>
    <t>Game</t>
  </si>
  <si>
    <t>Winner</t>
  </si>
  <si>
    <t>Come Out Roll</t>
  </si>
  <si>
    <t>Win</t>
  </si>
  <si>
    <t>Lose</t>
  </si>
  <si>
    <t>Push</t>
  </si>
  <si>
    <t>Name</t>
  </si>
  <si>
    <t>ComeOut2</t>
  </si>
  <si>
    <t>ComeOut3</t>
  </si>
  <si>
    <t>ComeOut7</t>
  </si>
  <si>
    <t>ComeOut11</t>
  </si>
  <si>
    <t>ComeOut12</t>
  </si>
  <si>
    <t>SR2</t>
  </si>
  <si>
    <t>SR3</t>
  </si>
  <si>
    <t>SR7</t>
  </si>
  <si>
    <t>SR11</t>
  </si>
  <si>
    <t>SR12</t>
  </si>
  <si>
    <t>standard</t>
  </si>
  <si>
    <t>Ruleset</t>
  </si>
  <si>
    <t>Games</t>
  </si>
  <si>
    <t>House Won</t>
  </si>
  <si>
    <t>Players Won</t>
  </si>
  <si>
    <t>House%</t>
  </si>
  <si>
    <t>Players%</t>
  </si>
  <si>
    <t>Rulset Name is in List</t>
  </si>
  <si>
    <t>Win Multiplier</t>
  </si>
  <si>
    <t xml:space="preserve"> </t>
  </si>
  <si>
    <t>Odds</t>
  </si>
  <si>
    <t>Runs</t>
  </si>
  <si>
    <t>Simulation History</t>
  </si>
  <si>
    <t>Ruleset Name</t>
  </si>
  <si>
    <t>HistoryTableAmountFilled</t>
  </si>
  <si>
    <t>Log First</t>
  </si>
  <si>
    <t>Current Ruleset Row Index</t>
  </si>
  <si>
    <t>Row</t>
  </si>
  <si>
    <t>Profit/Loss Per Dollar</t>
  </si>
  <si>
    <t>Games Log</t>
  </si>
  <si>
    <t>Game 1</t>
  </si>
  <si>
    <t>Come Out Roll: 9</t>
  </si>
  <si>
    <t>Subsequent Roll #1: 6</t>
  </si>
  <si>
    <t>Subsequent Roll #2: 7</t>
  </si>
  <si>
    <t>The house wins.</t>
  </si>
  <si>
    <t>House</t>
  </si>
  <si>
    <t>Game 2</t>
  </si>
  <si>
    <t>Come Out Roll: 6</t>
  </si>
  <si>
    <t>Subsequent Roll #1: 10</t>
  </si>
  <si>
    <t>Subsequent Roll #5: 7</t>
  </si>
  <si>
    <t>Game 3</t>
  </si>
  <si>
    <t>Subsequent Roll #1: 9</t>
  </si>
  <si>
    <t>The players win!</t>
  </si>
  <si>
    <t>Players</t>
  </si>
  <si>
    <t>Game 4</t>
  </si>
  <si>
    <t>Come Out Roll: 5</t>
  </si>
  <si>
    <t>Subsequent Roll #1: 5</t>
  </si>
  <si>
    <t>Game 5</t>
  </si>
  <si>
    <t>Come Out Roll: 8</t>
  </si>
  <si>
    <t>Subsequent Roll #1: 4</t>
  </si>
  <si>
    <t>Subsequent Roll #2: 10</t>
  </si>
  <si>
    <t>Subsequent Roll #4: 8</t>
  </si>
  <si>
    <t>Game 6</t>
  </si>
  <si>
    <t>Game 7</t>
  </si>
  <si>
    <t>Subsequent Roll #1: 7</t>
  </si>
  <si>
    <t>Game 8</t>
  </si>
  <si>
    <t>Subsequent Roll #2: 6</t>
  </si>
  <si>
    <t>Game 9</t>
  </si>
  <si>
    <t>Come Out Roll: 3</t>
  </si>
  <si>
    <t>Game 10</t>
  </si>
  <si>
    <t>Subsequent Roll #1: 8</t>
  </si>
  <si>
    <t>Subsequent Roll #2: 9</t>
  </si>
  <si>
    <t>Subsequent Roll #4: 5</t>
  </si>
  <si>
    <t>Game 11</t>
  </si>
  <si>
    <t>Game 12</t>
  </si>
  <si>
    <t>Game 13</t>
  </si>
  <si>
    <t>Come Out Roll: 4</t>
  </si>
  <si>
    <t>Subsequent Roll #2: 8</t>
  </si>
  <si>
    <t>Subsequent Roll #3: 8</t>
  </si>
  <si>
    <t>Game 14</t>
  </si>
  <si>
    <t>Subsequent Roll #2: 5</t>
  </si>
  <si>
    <t>Subsequent Roll #3: 9</t>
  </si>
  <si>
    <t>Game 15</t>
  </si>
  <si>
    <t>Game 16</t>
  </si>
  <si>
    <t>Subsequent Roll #1: 3</t>
  </si>
  <si>
    <t>Subsequent Roll #3: 4</t>
  </si>
  <si>
    <t>Subsequent Roll #4: 6</t>
  </si>
  <si>
    <t>Game 17</t>
  </si>
  <si>
    <t>Subsequent Roll #4: 7</t>
  </si>
  <si>
    <t>Game 18</t>
  </si>
  <si>
    <t>Game 19</t>
  </si>
  <si>
    <t>Come Out Roll: 7</t>
  </si>
  <si>
    <t>Game 20</t>
  </si>
  <si>
    <t>Game 21</t>
  </si>
  <si>
    <t>Come Out Roll: 10</t>
  </si>
  <si>
    <t>Subsequent Roll #6: 7</t>
  </si>
  <si>
    <t>Game 22</t>
  </si>
  <si>
    <t>Subsequent Roll #1: 11</t>
  </si>
  <si>
    <t>Game 23</t>
  </si>
  <si>
    <t>Game 24</t>
  </si>
  <si>
    <t>Game 25</t>
  </si>
  <si>
    <t>Game 26</t>
  </si>
  <si>
    <t>Game 27</t>
  </si>
  <si>
    <t>Game 28</t>
  </si>
  <si>
    <t>Game 29</t>
  </si>
  <si>
    <t>Subsequent Roll #3: 7</t>
  </si>
  <si>
    <t>Game 30</t>
  </si>
  <si>
    <t>Game 31</t>
  </si>
  <si>
    <t>Game 32</t>
  </si>
  <si>
    <t>Game 33</t>
  </si>
  <si>
    <t>Game 34</t>
  </si>
  <si>
    <t>Game 35</t>
  </si>
  <si>
    <t>Game 36</t>
  </si>
  <si>
    <t>Game 37</t>
  </si>
  <si>
    <t>Game 38</t>
  </si>
  <si>
    <t>Game 39</t>
  </si>
  <si>
    <t>Game 40</t>
  </si>
  <si>
    <t>Game 41</t>
  </si>
  <si>
    <t>Game 42</t>
  </si>
  <si>
    <t>Game 43</t>
  </si>
  <si>
    <t>Game 44</t>
  </si>
  <si>
    <t>Game 45</t>
  </si>
  <si>
    <t>Game 46</t>
  </si>
  <si>
    <t>Game 47</t>
  </si>
  <si>
    <t>Game 48</t>
  </si>
  <si>
    <t>Game 49</t>
  </si>
  <si>
    <t>Game 50</t>
  </si>
  <si>
    <t>Subsequent Roll #4: 9</t>
  </si>
  <si>
    <t>Come Out Roll: 11</t>
  </si>
  <si>
    <t>Subsequent Roll #3: 3</t>
  </si>
  <si>
    <t>Subsequent Roll #5: 6</t>
  </si>
  <si>
    <t>Subsequent Roll #7: 10</t>
  </si>
  <si>
    <t>Come Out Roll: 2</t>
  </si>
  <si>
    <t>Subsequent Roll #2: 12</t>
  </si>
  <si>
    <t>Subsequent Roll #2: 11</t>
  </si>
  <si>
    <t>Subsequent Roll #3: 6</t>
  </si>
  <si>
    <t>Subsequent Roll #5: 10</t>
  </si>
  <si>
    <t>Subsequent Roll #1: 12</t>
  </si>
  <si>
    <t>Subsequent Roll #2: 2</t>
  </si>
  <si>
    <t>Subsequent Roll #6: 6</t>
  </si>
  <si>
    <t>Subsequent Roll #8: 11</t>
  </si>
  <si>
    <t>Subsequent Roll #2: 3</t>
  </si>
  <si>
    <t>Come Out Roll: 12</t>
  </si>
  <si>
    <t>Subsequent Roll #5: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</si>
</sst>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0.00&quot;:1&quot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36"/>
      <color rgb="FF000000"/>
      <name val="Calibri"/>
      <family val="2"/>
    </font>
    <font>
      <sz val="28"/>
      <color theme="1"/>
      <name val="Algerian"/>
      <family val="5"/>
    </font>
    <font>
      <sz val="11"/>
      <color rgb="FF0070C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Times New Roman"/>
      <family val="1"/>
    </font>
    <font>
      <b/>
      <sz val="14"/>
      <color theme="0"/>
      <name val="Times New Roman"/>
      <family val="1"/>
    </font>
    <font>
      <sz val="11"/>
      <color rgb="FFFF0000"/>
      <name val="Calibri"/>
      <family val="2"/>
      <scheme val="minor"/>
    </font>
    <font>
      <sz val="22"/>
      <color theme="1"/>
      <name val="Times New Roman"/>
      <family val="1"/>
    </font>
    <font>
      <sz val="22"/>
      <color rgb="FF0070C0"/>
      <name val="Times New Roman"/>
      <family val="1"/>
    </font>
    <font>
      <sz val="22"/>
      <color rgb="FFFFFFFF"/>
      <name val="Times New Roman"/>
      <family val="1"/>
    </font>
    <font>
      <sz val="22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0080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53A1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9" fontId="0" fillId="0" borderId="0" xfId="1" applyFont="1"/>
    <xf numFmtId="0" fontId="0" fillId="2" borderId="0" xfId="0" applyFill="1"/>
    <xf numFmtId="0" fontId="0" fillId="2" borderId="0" xfId="0" applyFill="1" applyAlignment="1">
      <alignment horizontal="right"/>
    </xf>
    <xf numFmtId="9" fontId="8" fillId="0" borderId="0" xfId="1" applyFont="1" applyFill="1" applyBorder="1"/>
    <xf numFmtId="2" fontId="0" fillId="0" borderId="0" xfId="0" applyNumberFormat="1"/>
    <xf numFmtId="1" fontId="8" fillId="0" borderId="0" xfId="1" applyNumberFormat="1" applyFont="1" applyFill="1" applyBorder="1"/>
    <xf numFmtId="0" fontId="0" fillId="2" borderId="0" xfId="0" applyFill="1" applyAlignment="1">
      <alignment horizontal="center" vertical="center"/>
    </xf>
    <xf numFmtId="1" fontId="8" fillId="0" borderId="0" xfId="1" applyNumberFormat="1" applyFont="1" applyBorder="1"/>
    <xf numFmtId="0" fontId="8" fillId="2" borderId="0" xfId="0" applyFont="1" applyFill="1"/>
    <xf numFmtId="1" fontId="8" fillId="2" borderId="0" xfId="0" applyNumberFormat="1" applyFont="1" applyFill="1"/>
    <xf numFmtId="9" fontId="8" fillId="2" borderId="0" xfId="1" applyFont="1" applyFill="1" applyBorder="1"/>
    <xf numFmtId="0" fontId="5" fillId="2" borderId="0" xfId="0" applyFont="1" applyFill="1" applyAlignment="1">
      <alignment horizontal="center"/>
    </xf>
    <xf numFmtId="0" fontId="0" fillId="4" borderId="0" xfId="0" applyFill="1"/>
    <xf numFmtId="0" fontId="14" fillId="4" borderId="9" xfId="0" applyFont="1" applyFill="1" applyBorder="1"/>
    <xf numFmtId="0" fontId="17" fillId="4" borderId="0" xfId="0" applyFont="1" applyFill="1"/>
    <xf numFmtId="0" fontId="18" fillId="4" borderId="0" xfId="0" applyFont="1" applyFill="1"/>
    <xf numFmtId="0" fontId="9" fillId="5" borderId="0" xfId="0" applyFont="1" applyFill="1" applyAlignment="1">
      <alignment horizontal="center" vertical="center"/>
    </xf>
    <xf numFmtId="0" fontId="8" fillId="0" borderId="0" xfId="0" applyFont="1"/>
    <xf numFmtId="0" fontId="13" fillId="6" borderId="3" xfId="0" applyFont="1" applyFill="1" applyBorder="1" applyAlignment="1">
      <alignment horizontal="centerContinuous" vertical="center"/>
    </xf>
    <xf numFmtId="0" fontId="0" fillId="6" borderId="4" xfId="0" applyFill="1" applyBorder="1" applyAlignment="1">
      <alignment horizontal="centerContinuous"/>
    </xf>
    <xf numFmtId="0" fontId="0" fillId="6" borderId="5" xfId="0" applyFill="1" applyBorder="1" applyAlignment="1">
      <alignment horizontal="centerContinuous"/>
    </xf>
    <xf numFmtId="165" fontId="8" fillId="0" borderId="0" xfId="0" applyNumberFormat="1" applyFont="1"/>
    <xf numFmtId="164" fontId="8" fillId="0" borderId="0" xfId="2" applyNumberFormat="1" applyFont="1" applyBorder="1"/>
    <xf numFmtId="1" fontId="8" fillId="0" borderId="0" xfId="0" applyNumberFormat="1" applyFont="1"/>
    <xf numFmtId="0" fontId="19" fillId="4" borderId="9" xfId="0" applyFont="1" applyFill="1" applyBorder="1"/>
    <xf numFmtId="0" fontId="17" fillId="2" borderId="0" xfId="0" applyFont="1" applyFill="1"/>
    <xf numFmtId="0" fontId="16" fillId="4" borderId="0" xfId="0" applyFont="1" applyFill="1"/>
    <xf numFmtId="0" fontId="15" fillId="2" borderId="0" xfId="0" applyFont="1" applyFill="1"/>
    <xf numFmtId="0" fontId="18" fillId="2" borderId="0" xfId="0" applyFont="1" applyFill="1"/>
    <xf numFmtId="0" fontId="10" fillId="2" borderId="0" xfId="0" applyFont="1" applyFill="1"/>
    <xf numFmtId="10" fontId="8" fillId="0" borderId="0" xfId="1" applyNumberFormat="1" applyFont="1" applyFill="1" applyBorder="1"/>
    <xf numFmtId="0" fontId="12" fillId="3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18">
    <dxf>
      <numFmt numFmtId="2" formatCode="0.00"/>
    </dxf>
    <dxf>
      <font>
        <b val="0"/>
        <strike val="0"/>
        <outline val="0"/>
        <shadow val="0"/>
        <u val="none"/>
        <vertAlign val="baseline"/>
        <color theme="1"/>
        <name val="Times New Roman"/>
        <family val="1"/>
        <scheme val="none"/>
      </font>
      <numFmt numFmtId="164" formatCode="&quot;$&quot;#,##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Times New Roman"/>
        <family val="1"/>
        <scheme val="none"/>
      </font>
      <numFmt numFmtId="165" formatCode="0.00&quot;:1&quot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Times New Roman"/>
        <family val="1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Times New Roman"/>
        <family val="1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Times New Roman"/>
        <family val="1"/>
        <scheme val="none"/>
      </font>
      <fill>
        <patternFill patternType="solid">
          <fgColor indexed="64"/>
          <bgColor rgb="FF996633"/>
        </patternFill>
      </fill>
      <alignment horizontal="center" vertical="center" textRotation="0" wrapText="0" indent="0" justifyLastLine="0" shrinkToFit="0" readingOrder="0"/>
    </dxf>
    <dxf>
      <fill>
        <patternFill>
          <bgColor theme="0"/>
        </patternFill>
      </fill>
    </dxf>
    <dxf>
      <font>
        <color rgb="FFFF0000"/>
      </font>
    </dxf>
    <dxf>
      <font>
        <color rgb="FF00B050"/>
      </font>
    </dxf>
    <dxf>
      <font>
        <b val="0"/>
        <i val="0"/>
        <color rgb="FFFF0000"/>
      </font>
    </dxf>
    <dxf>
      <font>
        <b val="0"/>
        <i val="0"/>
        <color rgb="FF00B050"/>
      </font>
    </dxf>
  </dxfs>
  <tableStyles count="0" defaultTableStyle="TableStyleMedium2" defaultPivotStyle="PivotStyleLight16"/>
  <colors>
    <mruColors>
      <color rgb="FF663300"/>
      <color rgb="FF53A166"/>
      <color rgb="FFC68C52"/>
      <color rgb="FF996633"/>
      <color rgb="FFCC0000"/>
      <color rgb="FFD8AF72"/>
      <color rgb="FFFF6600"/>
      <color rgb="FF80BE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16565</xdr:colOff>
      <xdr:row>1</xdr:row>
      <xdr:rowOff>95250</xdr:rowOff>
    </xdr:from>
    <xdr:to>
      <xdr:col>10</xdr:col>
      <xdr:colOff>571499</xdr:colOff>
      <xdr:row>6</xdr:row>
      <xdr:rowOff>163285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22851" y="285750"/>
          <a:ext cx="5752862" cy="1265464"/>
        </a:xfrm>
        <a:prstGeom prst="rect">
          <a:avLst/>
        </a:prstGeom>
        <a:solidFill>
          <a:srgbClr val="53A166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>
              <a:latin typeface="Algerian" panose="04020705040A02060702" pitchFamily="82" charset="0"/>
            </a:rPr>
            <a:t>Ruleset Tester</a:t>
          </a:r>
        </a:p>
      </xdr:txBody>
    </xdr:sp>
    <xdr:clientData/>
  </xdr:twoCellAnchor>
  <xdr:twoCellAnchor>
    <xdr:from>
      <xdr:col>2</xdr:col>
      <xdr:colOff>260694</xdr:colOff>
      <xdr:row>16</xdr:row>
      <xdr:rowOff>76199</xdr:rowOff>
    </xdr:from>
    <xdr:to>
      <xdr:col>10</xdr:col>
      <xdr:colOff>327369</xdr:colOff>
      <xdr:row>19</xdr:row>
      <xdr:rowOff>77563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66980" y="3409949"/>
          <a:ext cx="5264603" cy="572864"/>
        </a:xfrm>
        <a:prstGeom prst="rect">
          <a:avLst/>
        </a:prstGeom>
        <a:solidFill>
          <a:srgbClr val="53A166"/>
        </a:solidFill>
        <a:ln w="571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>
            <a:spcBef>
              <a:spcPts val="0"/>
            </a:spcBef>
            <a:spcAft>
              <a:spcPts val="0"/>
            </a:spcAft>
          </a:pPr>
          <a:r>
            <a:rPr lang="en-US" sz="2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On Come Out Roll</a:t>
          </a:r>
        </a:p>
      </xdr:txBody>
    </xdr:sp>
    <xdr:clientData/>
  </xdr:twoCellAnchor>
  <xdr:twoCellAnchor>
    <xdr:from>
      <xdr:col>21</xdr:col>
      <xdr:colOff>1122588</xdr:colOff>
      <xdr:row>3</xdr:row>
      <xdr:rowOff>279</xdr:rowOff>
    </xdr:from>
    <xdr:to>
      <xdr:col>21</xdr:col>
      <xdr:colOff>1817914</xdr:colOff>
      <xdr:row>3</xdr:row>
      <xdr:rowOff>354599</xdr:rowOff>
    </xdr:to>
    <xdr:sp macro="[0]!ClearHistoryTab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7709695" y="585386"/>
          <a:ext cx="695326" cy="354320"/>
        </a:xfrm>
        <a:prstGeom prst="rect">
          <a:avLst/>
        </a:prstGeom>
        <a:solidFill>
          <a:srgbClr val="CC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>
    <xdr:from>
      <xdr:col>7</xdr:col>
      <xdr:colOff>510621</xdr:colOff>
      <xdr:row>39</xdr:row>
      <xdr:rowOff>198782</xdr:rowOff>
    </xdr:from>
    <xdr:to>
      <xdr:col>10</xdr:col>
      <xdr:colOff>570670</xdr:colOff>
      <xdr:row>43</xdr:row>
      <xdr:rowOff>356151</xdr:rowOff>
    </xdr:to>
    <xdr:sp macro="[0]!RunButtonClick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41800" y="8199782"/>
          <a:ext cx="2060299" cy="742476"/>
        </a:xfrm>
        <a:prstGeom prst="rect">
          <a:avLst/>
        </a:prstGeom>
        <a:solidFill>
          <a:srgbClr val="00B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latin typeface="Times New Roman" panose="02020603050405020304" pitchFamily="18" charset="0"/>
              <a:cs typeface="Times New Roman" panose="02020603050405020304" pitchFamily="18" charset="0"/>
            </a:rPr>
            <a:t>Test</a:t>
          </a:r>
        </a:p>
      </xdr:txBody>
    </xdr:sp>
    <xdr:clientData/>
  </xdr:twoCellAnchor>
  <xdr:twoCellAnchor>
    <xdr:from>
      <xdr:col>2</xdr:col>
      <xdr:colOff>260694</xdr:colOff>
      <xdr:row>27</xdr:row>
      <xdr:rowOff>85724</xdr:rowOff>
    </xdr:from>
    <xdr:to>
      <xdr:col>10</xdr:col>
      <xdr:colOff>327369</xdr:colOff>
      <xdr:row>30</xdr:row>
      <xdr:rowOff>96613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70812" y="5800724"/>
          <a:ext cx="5266204" cy="582389"/>
        </a:xfrm>
        <a:prstGeom prst="rect">
          <a:avLst/>
        </a:prstGeom>
        <a:solidFill>
          <a:srgbClr val="53A166"/>
        </a:solidFill>
        <a:ln w="571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>
            <a:spcBef>
              <a:spcPts val="0"/>
            </a:spcBef>
            <a:spcAft>
              <a:spcPts val="0"/>
            </a:spcAft>
          </a:pPr>
          <a:r>
            <a:rPr lang="en-US" sz="2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On Subsequent Rolls</a:t>
          </a:r>
        </a:p>
      </xdr:txBody>
    </xdr:sp>
    <xdr:clientData/>
  </xdr:twoCellAnchor>
  <xdr:twoCellAnchor>
    <xdr:from>
      <xdr:col>7</xdr:col>
      <xdr:colOff>556645</xdr:colOff>
      <xdr:row>12</xdr:row>
      <xdr:rowOff>164632</xdr:rowOff>
    </xdr:from>
    <xdr:to>
      <xdr:col>9</xdr:col>
      <xdr:colOff>442675</xdr:colOff>
      <xdr:row>15</xdr:row>
      <xdr:rowOff>85259</xdr:rowOff>
    </xdr:to>
    <xdr:sp macro="[0]!DeleteRules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081020" y="3060232"/>
          <a:ext cx="1190955" cy="492127"/>
        </a:xfrm>
        <a:prstGeom prst="rect">
          <a:avLst/>
        </a:prstGeom>
        <a:solidFill>
          <a:srgbClr val="CC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Delete</a:t>
          </a:r>
        </a:p>
      </xdr:txBody>
    </xdr:sp>
    <xdr:clientData/>
  </xdr:twoCellAnchor>
  <xdr:twoCellAnchor>
    <xdr:from>
      <xdr:col>5</xdr:col>
      <xdr:colOff>393880</xdr:colOff>
      <xdr:row>12</xdr:row>
      <xdr:rowOff>164632</xdr:rowOff>
    </xdr:from>
    <xdr:to>
      <xdr:col>7</xdr:col>
      <xdr:colOff>279909</xdr:colOff>
      <xdr:row>15</xdr:row>
      <xdr:rowOff>85259</xdr:rowOff>
    </xdr:to>
    <xdr:sp macro="[0]!LoadRuleSe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613330" y="3060232"/>
          <a:ext cx="1190954" cy="492127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Load</a:t>
          </a:r>
        </a:p>
      </xdr:txBody>
    </xdr:sp>
    <xdr:clientData/>
  </xdr:twoCellAnchor>
  <xdr:twoCellAnchor>
    <xdr:from>
      <xdr:col>3</xdr:col>
      <xdr:colOff>231115</xdr:colOff>
      <xdr:row>12</xdr:row>
      <xdr:rowOff>164632</xdr:rowOff>
    </xdr:from>
    <xdr:to>
      <xdr:col>5</xdr:col>
      <xdr:colOff>117145</xdr:colOff>
      <xdr:row>15</xdr:row>
      <xdr:rowOff>85259</xdr:rowOff>
    </xdr:to>
    <xdr:sp macro="[0]!SaveRules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145640" y="3060232"/>
          <a:ext cx="1190955" cy="492127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</a:p>
      </xdr:txBody>
    </xdr:sp>
    <xdr:clientData/>
  </xdr:twoCellAnchor>
  <xdr:twoCellAnchor>
    <xdr:from>
      <xdr:col>28</xdr:col>
      <xdr:colOff>510266</xdr:colOff>
      <xdr:row>3</xdr:row>
      <xdr:rowOff>279</xdr:rowOff>
    </xdr:from>
    <xdr:to>
      <xdr:col>29</xdr:col>
      <xdr:colOff>593270</xdr:colOff>
      <xdr:row>3</xdr:row>
      <xdr:rowOff>354599</xdr:rowOff>
    </xdr:to>
    <xdr:sp macro="[0]!ClearLo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968730" y="585386"/>
          <a:ext cx="695326" cy="354320"/>
        </a:xfrm>
        <a:prstGeom prst="rect">
          <a:avLst/>
        </a:prstGeom>
        <a:solidFill>
          <a:srgbClr val="CC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4</xdr:row>
          <xdr:rowOff>152400</xdr:rowOff>
        </xdr:from>
        <xdr:to>
          <xdr:col>9</xdr:col>
          <xdr:colOff>76200</xdr:colOff>
          <xdr:row>9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C3757C-B8D6-49E5-A354-46B9C7E89949}" name="SimulationHistory" displayName="SimulationHistory" ref="N5:V20" totalsRowShown="0" headerRowDxfId="12" dataDxfId="11" tableBorderDxfId="10">
  <autoFilter ref="N5:V20" xr:uid="{7AC3757C-B8D6-49E5-A354-46B9C7E899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9" xr3:uid="{771108CD-9A56-4D45-B69D-435B70B83003}" name="Row" dataDxfId="9"/>
    <tableColumn id="1" xr3:uid="{B68ACA7B-CCDE-4836-80E9-B3604C6A49C3}" name="Ruleset" dataDxfId="8"/>
    <tableColumn id="2" xr3:uid="{E498B4FB-4B07-465B-B07C-A38E55BE5D8A}" name="Games" dataDxfId="7"/>
    <tableColumn id="3" xr3:uid="{D5937194-9703-48B5-B083-25DC61751D5F}" name="House Won" dataDxfId="6"/>
    <tableColumn id="4" xr3:uid="{BC1FDC9B-2CD4-4F67-9880-0C230EC78347}" name="Players Won" dataDxfId="5"/>
    <tableColumn id="5" xr3:uid="{E2B1D98E-5EBF-4D97-A0B1-276CD3C2AEE6}" name="House%" dataDxfId="4" dataCellStyle="Percent">
      <calculatedColumnFormula>IFERROR(SimulationHistory[[#This Row],[House Won]]/SimulationHistory[[#This Row],[Games]],"")</calculatedColumnFormula>
    </tableColumn>
    <tableColumn id="6" xr3:uid="{015F7853-ED80-4779-9160-A32DF44A4A7A}" name="Players%" dataDxfId="3" dataCellStyle="Percent">
      <calculatedColumnFormula>IFERROR(SimulationHistory[[#This Row],[Players Won]]/SimulationHistory[[#This Row],[Games]],"")</calculatedColumnFormula>
    </tableColumn>
    <tableColumn id="7" xr3:uid="{CD3813CD-1966-4D07-AF46-C8F0B4690779}" name="Odds" dataDxfId="2"/>
    <tableColumn id="8" xr3:uid="{C08CD718-3F2B-46B0-B664-0A13D7FDC8F9}" name="Profit/Loss Per Dollar" dataDxfId="1" dataCellStyle="Currency">
      <calculatedColumnFormula>IFERROR((SimulationHistory[[#This Row],[House Won]]*1-(SimulationHistory[[#This Row],[Players Won]]*SimulationHistory[[#This Row],[Odds]]))/SimulationHistory[[#This Row],[Games]]*1,"")</calculatedColumnFormula>
    </tableColumn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3760CE-19B2-4396-AC41-573128B6092C}" name="SimulationResults" displayName="SimulationResults" ref="K6:N1006" totalsRowShown="0">
  <autoFilter ref="K6:N1006" xr:uid="{8A3760CE-19B2-4396-AC41-573128B6092C}">
    <filterColumn colId="0" hiddenButton="1"/>
    <filterColumn colId="1" hiddenButton="1"/>
    <filterColumn colId="2" hiddenButton="1"/>
    <filterColumn colId="3" hiddenButton="1"/>
  </autoFilter>
  <tableColumns count="4">
    <tableColumn id="1" xr3:uid="{5111A9AC-DEFE-49C1-9588-CAA450ABD9AA}" name="Game"/>
    <tableColumn id="2" xr3:uid="{41159037-44D7-41CD-8A84-70602197664B}" name="Winner"/>
    <tableColumn id="3" xr3:uid="{F5C14885-7992-4916-BCBD-3E3B4DEB8289}" name="Come Out Roll"/>
    <tableColumn id="4" xr3:uid="{7B43BDB1-3BE7-421B-9A02-9EC057D72C5E}" name="Win Multiplier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89B278-0C98-42BE-8790-6490E5705EDB}" name="Rulesets" displayName="Rulesets" ref="U6:AF7" totalsRowShown="0">
  <autoFilter ref="U6:AF7" xr:uid="{9C89B278-0C98-42BE-8790-6490E5705E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50B4838-9592-4230-960A-A95A968D4FB1}" name="Name"/>
    <tableColumn id="2" xr3:uid="{944220B3-8158-47D5-A334-2EAB675E0180}" name="ComeOut2"/>
    <tableColumn id="3" xr3:uid="{3823E50E-7D39-4CD1-9812-0F17ACACD401}" name="ComeOut3"/>
    <tableColumn id="4" xr3:uid="{58DC51B9-592B-4E9A-A09A-D197D60463C0}" name="ComeOut7"/>
    <tableColumn id="5" xr3:uid="{6A64C824-01B0-4B73-A5E1-565FAD11C666}" name="ComeOut11"/>
    <tableColumn id="6" xr3:uid="{E498E315-FED3-44DB-942D-8BBC851A4599}" name="ComeOut12"/>
    <tableColumn id="7" xr3:uid="{19B7FEA8-FF77-4881-ACD2-7FBAFAC58470}" name="SR2"/>
    <tableColumn id="8" xr3:uid="{AB48BC60-2196-4D6A-B8B8-A0F8798BB038}" name="SR3"/>
    <tableColumn id="9" xr3:uid="{CA55EC69-7194-48F9-8E64-D2CB5C1AC860}" name="SR7"/>
    <tableColumn id="10" xr3:uid="{CED31636-38CE-4DEF-BF67-7FDC82E17740}" name="SR11"/>
    <tableColumn id="11" xr3:uid="{89FC1580-FDD7-40FA-AE0F-757762F2AD0E}" name="SR12"/>
    <tableColumn id="12" xr3:uid="{0D0E325E-93C3-4160-B9F1-C8DF64F9FCD3}" name="Odd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147B0-EEB5-48AB-9A78-3D66CE12BFCD}">
  <sheetPr codeName="ShFrontend"/>
  <dimension ref="B3:AD305"/>
  <sheetViews>
    <sheetView tabSelected="1" zoomScale="70" zoomScaleNormal="70" workbookViewId="0">
      <selection activeCell="D11" sqref="D11:J12"/>
    </sheetView>
  </sheetViews>
  <sheetFormatPr defaultRowHeight="15" x14ac:dyDescent="0.25"/>
  <cols>
    <col min="1" max="1" width="9.140625" style="3"/>
    <col min="2" max="2" width="10.42578125" style="3" bestFit="1" customWidth="1"/>
    <col min="3" max="3" width="9.140625" style="3"/>
    <col min="4" max="4" width="10.42578125" style="3" bestFit="1" customWidth="1"/>
    <col min="5" max="5" width="9.140625" style="3"/>
    <col min="6" max="6" width="10.42578125" style="3" bestFit="1" customWidth="1"/>
    <col min="7" max="7" width="9.140625" style="3"/>
    <col min="8" max="8" width="10.42578125" style="3" bestFit="1" customWidth="1"/>
    <col min="9" max="9" width="8.7109375" style="3" bestFit="1" customWidth="1"/>
    <col min="10" max="10" width="10.42578125" style="3" bestFit="1" customWidth="1"/>
    <col min="11" max="11" width="8.7109375" style="3" bestFit="1" customWidth="1"/>
    <col min="12" max="13" width="9.140625" style="3"/>
    <col min="14" max="14" width="6.7109375" style="3" bestFit="1" customWidth="1"/>
    <col min="15" max="15" width="25" style="3" customWidth="1"/>
    <col min="16" max="16" width="15" style="3" bestFit="1" customWidth="1"/>
    <col min="17" max="18" width="16.42578125" style="3" bestFit="1" customWidth="1"/>
    <col min="19" max="19" width="12.5703125" style="3" bestFit="1" customWidth="1"/>
    <col min="20" max="20" width="13" style="3" bestFit="1" customWidth="1"/>
    <col min="21" max="21" width="14.28515625" style="3" bestFit="1" customWidth="1"/>
    <col min="22" max="22" width="27.7109375" style="3" bestFit="1" customWidth="1"/>
    <col min="23" max="16384" width="9.140625" style="3"/>
  </cols>
  <sheetData>
    <row r="3" spans="4:30" ht="15.75" thickBot="1" x14ac:dyDescent="0.3"/>
    <row r="4" spans="4:30" ht="28.5" customHeight="1" thickBot="1" x14ac:dyDescent="0.5">
      <c r="N4" s="20" t="s">
        <v>32</v>
      </c>
      <c r="O4" s="21"/>
      <c r="P4" s="21"/>
      <c r="Q4" s="21"/>
      <c r="R4" s="21"/>
      <c r="S4" s="21"/>
      <c r="T4" s="21"/>
      <c r="U4" s="22"/>
      <c r="V4" s="22"/>
      <c r="X4" s="15" t="s">
        <v>39</v>
      </c>
      <c r="Y4" s="26"/>
      <c r="Z4" s="26"/>
      <c r="AA4" s="26"/>
      <c r="AB4" s="26"/>
      <c r="AC4" s="26"/>
      <c r="AD4" s="26"/>
    </row>
    <row r="5" spans="4:30" ht="18.75" x14ac:dyDescent="0.25">
      <c r="N5" s="18" t="s">
        <v>37</v>
      </c>
      <c r="O5" s="18" t="s">
        <v>21</v>
      </c>
      <c r="P5" s="18" t="s">
        <v>22</v>
      </c>
      <c r="Q5" s="18" t="s">
        <v>23</v>
      </c>
      <c r="R5" s="18" t="s">
        <v>24</v>
      </c>
      <c r="S5" s="18" t="s">
        <v>25</v>
      </c>
      <c r="T5" s="18" t="s">
        <v>26</v>
      </c>
      <c r="U5" s="18" t="s">
        <v>30</v>
      </c>
      <c r="V5" s="18" t="s">
        <v>38</v>
      </c>
      <c r="X5" s="28">
        <v>222</v>
      </c>
      <c r="Y5" s="14"/>
      <c r="Z5" s="14"/>
      <c r="AA5" s="14"/>
      <c r="AB5" s="14"/>
      <c r="AC5" s="14"/>
      <c r="AD5" s="14"/>
    </row>
    <row r="6" spans="4:30" x14ac:dyDescent="0.25">
      <c r="N6" s="19">
        <v>1</v>
      </c>
      <c r="O6" s="19"/>
      <c r="P6" s="19"/>
      <c r="Q6" s="19"/>
      <c r="R6" s="9"/>
      <c r="S6" s="32" t="str">
        <f>IFERROR(SimulationHistory[[#This Row],[House Won]]/SimulationHistory[[#This Row],[Games]],"")</f>
        <v/>
      </c>
      <c r="T6" s="5" t="str">
        <f>IFERROR(SimulationHistory[[#This Row],[Players Won]]/SimulationHistory[[#This Row],[Games]],"")</f>
        <v/>
      </c>
      <c r="U6" s="23"/>
      <c r="V6" s="24" t="str">
        <f>IFERROR((SimulationHistory[[#This Row],[House Won]]*1-(SimulationHistory[[#This Row],[Players Won]]*SimulationHistory[[#This Row],[Odds]]))/SimulationHistory[[#This Row],[Games]]*1,"")</f>
        <v/>
      </c>
      <c r="X6" s="17" t="s">
        <v>40</v>
      </c>
      <c r="Y6" s="14"/>
      <c r="Z6" s="14"/>
      <c r="AA6" s="14"/>
      <c r="AB6" s="14"/>
      <c r="AC6" s="14"/>
      <c r="AD6" s="14"/>
    </row>
    <row r="7" spans="4:30" x14ac:dyDescent="0.25">
      <c r="N7" s="19">
        <v>2</v>
      </c>
      <c r="O7" s="19"/>
      <c r="P7" s="19"/>
      <c r="Q7" s="19"/>
      <c r="R7" s="25"/>
      <c r="S7" s="32" t="str">
        <f>IFERROR(SimulationHistory[[#This Row],[House Won]]/SimulationHistory[[#This Row],[Games]],"")</f>
        <v/>
      </c>
      <c r="T7" s="5" t="str">
        <f>IFERROR(SimulationHistory[[#This Row],[Players Won]]/SimulationHistory[[#This Row],[Games]],"")</f>
        <v/>
      </c>
      <c r="U7" s="23"/>
      <c r="V7" s="24" t="str">
        <f>IFERROR((SimulationHistory[[#This Row],[House Won]]*1-(SimulationHistory[[#This Row],[Players Won]]*SimulationHistory[[#This Row],[Odds]]))/SimulationHistory[[#This Row],[Games]]*1,"")</f>
        <v/>
      </c>
      <c r="X7" s="16" t="s">
        <v>94</v>
      </c>
      <c r="Y7" s="14"/>
      <c r="Z7" s="14"/>
      <c r="AA7" s="14"/>
      <c r="AB7" s="14"/>
      <c r="AC7" s="14"/>
      <c r="AD7" s="14"/>
    </row>
    <row r="8" spans="4:30" ht="15.75" thickBot="1" x14ac:dyDescent="0.3">
      <c r="N8" s="19">
        <v>3</v>
      </c>
      <c r="O8" s="19"/>
      <c r="P8" s="19"/>
      <c r="Q8" s="19"/>
      <c r="R8" s="25"/>
      <c r="S8" s="32" t="str">
        <f>IFERROR(SimulationHistory[[#This Row],[House Won]]/SimulationHistory[[#This Row],[Games]],"")</f>
        <v/>
      </c>
      <c r="T8" s="5" t="str">
        <f>IFERROR(SimulationHistory[[#This Row],[Players Won]]/SimulationHistory[[#This Row],[Games]],"")</f>
        <v/>
      </c>
      <c r="U8" s="23"/>
      <c r="V8" s="24" t="str">
        <f>IFERROR((SimulationHistory[[#This Row],[House Won]]*1-(SimulationHistory[[#This Row],[Players Won]]*SimulationHistory[[#This Row],[Odds]]))/SimulationHistory[[#This Row],[Games]]*1,"")</f>
        <v/>
      </c>
      <c r="X8" s="16" t="s">
        <v>59</v>
      </c>
      <c r="Y8" s="14"/>
      <c r="Z8" s="14"/>
      <c r="AA8" s="14"/>
      <c r="AB8" s="14"/>
      <c r="AC8" s="14"/>
      <c r="AD8" s="14"/>
    </row>
    <row r="9" spans="4:30" x14ac:dyDescent="0.25">
      <c r="D9" s="39" t="s">
        <v>33</v>
      </c>
      <c r="E9" s="48"/>
      <c r="F9" s="48"/>
      <c r="G9" s="48"/>
      <c r="H9" s="48"/>
      <c r="I9" s="48"/>
      <c r="J9" s="43"/>
      <c r="N9" s="19">
        <v>4</v>
      </c>
      <c r="O9" s="19"/>
      <c r="P9" s="19"/>
      <c r="Q9" s="19"/>
      <c r="R9" s="25"/>
      <c r="S9" s="32" t="str">
        <f>IFERROR(SimulationHistory[[#This Row],[House Won]]/SimulationHistory[[#This Row],[Games]],"")</f>
        <v/>
      </c>
      <c r="T9" s="5" t="str">
        <f>IFERROR(SimulationHistory[[#This Row],[Players Won]]/SimulationHistory[[#This Row],[Games]],"")</f>
        <v/>
      </c>
      <c r="U9" s="23"/>
      <c r="V9" s="24" t="str">
        <f>IFERROR((SimulationHistory[[#This Row],[House Won]]*1-(SimulationHistory[[#This Row],[Players Won]]*SimulationHistory[[#This Row],[Odds]]))/SimulationHistory[[#This Row],[Games]]*1,"")</f>
        <v/>
      </c>
      <c r="X9" s="16" t="s">
        <v>80</v>
      </c>
      <c r="Y9" s="14"/>
      <c r="Z9" s="14"/>
      <c r="AA9" s="14"/>
      <c r="AB9" s="14"/>
      <c r="AC9" s="14"/>
      <c r="AD9" s="14"/>
    </row>
    <row r="10" spans="4:30" ht="15.75" thickBot="1" x14ac:dyDescent="0.3">
      <c r="D10" s="49"/>
      <c r="E10" s="50"/>
      <c r="F10" s="50"/>
      <c r="G10" s="50"/>
      <c r="H10" s="50"/>
      <c r="I10" s="50"/>
      <c r="J10" s="51"/>
      <c r="N10" s="19">
        <v>5</v>
      </c>
      <c r="O10" s="19"/>
      <c r="P10" s="19"/>
      <c r="Q10" s="19"/>
      <c r="R10" s="25"/>
      <c r="S10" s="32" t="str">
        <f>IFERROR(SimulationHistory[[#This Row],[House Won]]/SimulationHistory[[#This Row],[Games]],"")</f>
        <v/>
      </c>
      <c r="T10" s="5" t="str">
        <f>IFERROR(SimulationHistory[[#This Row],[Players Won]]/SimulationHistory[[#This Row],[Games]],"")</f>
        <v/>
      </c>
      <c r="U10" s="23"/>
      <c r="V10" s="24" t="str">
        <f>IFERROR((SimulationHistory[[#This Row],[House Won]]*1-(SimulationHistory[[#This Row],[Players Won]]*SimulationHistory[[#This Row],[Odds]]))/SimulationHistory[[#This Row],[Games]]*1,"")</f>
        <v/>
      </c>
      <c r="X10" s="16" t="s">
        <v>81</v>
      </c>
      <c r="Y10" s="14"/>
      <c r="Z10" s="14"/>
      <c r="AA10" s="14"/>
      <c r="AB10" s="14"/>
      <c r="AC10" s="14"/>
      <c r="AD10" s="14"/>
    </row>
    <row r="11" spans="4:30" ht="15" customHeight="1" x14ac:dyDescent="0.25">
      <c r="D11" s="33" t="s">
        <v>20</v>
      </c>
      <c r="E11" s="46"/>
      <c r="F11" s="46"/>
      <c r="G11" s="46"/>
      <c r="H11" s="46"/>
      <c r="I11" s="46"/>
      <c r="J11" s="34"/>
      <c r="N11" s="19">
        <v>6</v>
      </c>
      <c r="O11" s="19"/>
      <c r="P11" s="19"/>
      <c r="Q11" s="19"/>
      <c r="R11" s="25"/>
      <c r="S11" s="32" t="str">
        <f>IFERROR(SimulationHistory[[#This Row],[House Won]]/SimulationHistory[[#This Row],[Games]],"")</f>
        <v/>
      </c>
      <c r="T11" s="5" t="str">
        <f>IFERROR(SimulationHistory[[#This Row],[Players Won]]/SimulationHistory[[#This Row],[Games]],"")</f>
        <v/>
      </c>
      <c r="U11" s="23"/>
      <c r="V11" s="24" t="str">
        <f>IFERROR((SimulationHistory[[#This Row],[House Won]]*1-(SimulationHistory[[#This Row],[Players Won]]*SimulationHistory[[#This Row],[Odds]]))/SimulationHistory[[#This Row],[Games]]*1,"")</f>
        <v/>
      </c>
      <c r="X11" s="16" t="s">
        <v>86</v>
      </c>
      <c r="Y11" s="14"/>
      <c r="Z11" s="14"/>
      <c r="AA11" s="14"/>
      <c r="AB11" s="14"/>
      <c r="AC11" s="14"/>
      <c r="AD11" s="14"/>
    </row>
    <row r="12" spans="4:30" ht="15.75" customHeight="1" thickBot="1" x14ac:dyDescent="0.3">
      <c r="D12" s="35"/>
      <c r="E12" s="47"/>
      <c r="F12" s="47"/>
      <c r="G12" s="47"/>
      <c r="H12" s="47"/>
      <c r="I12" s="47"/>
      <c r="J12" s="36"/>
      <c r="N12" s="19">
        <v>7</v>
      </c>
      <c r="O12" s="19"/>
      <c r="P12" s="19"/>
      <c r="Q12" s="19"/>
      <c r="R12" s="7"/>
      <c r="S12" s="32" t="str">
        <f>IFERROR(SimulationHistory[[#This Row],[House Won]]/SimulationHistory[[#This Row],[Games]],"")</f>
        <v/>
      </c>
      <c r="T12" s="5" t="str">
        <f>IFERROR(SimulationHistory[[#This Row],[Players Won]]/SimulationHistory[[#This Row],[Games]],"")</f>
        <v/>
      </c>
      <c r="U12" s="23"/>
      <c r="V12" s="24" t="str">
        <f>IFERROR((SimulationHistory[[#This Row],[House Won]]*1-(SimulationHistory[[#This Row],[Players Won]]*SimulationHistory[[#This Row],[Odds]]))/SimulationHistory[[#This Row],[Games]]*1,"")</f>
        <v/>
      </c>
      <c r="X12" s="27" t="s">
        <v>130</v>
      </c>
    </row>
    <row r="13" spans="4:30" x14ac:dyDescent="0.25">
      <c r="N13" s="19">
        <v>8</v>
      </c>
      <c r="O13" s="19"/>
      <c r="P13" s="19"/>
      <c r="Q13" s="19"/>
      <c r="R13" s="25"/>
      <c r="S13" s="32" t="str">
        <f>IFERROR(SimulationHistory[[#This Row],[House Won]]/SimulationHistory[[#This Row],[Games]],"")</f>
        <v/>
      </c>
      <c r="T13" s="5" t="str">
        <f>IFERROR(SimulationHistory[[#This Row],[Players Won]]/SimulationHistory[[#This Row],[Games]],"")</f>
        <v/>
      </c>
      <c r="U13" s="23"/>
      <c r="V13" s="24" t="str">
        <f>IFERROR((SimulationHistory[[#This Row],[House Won]]*1-(SimulationHistory[[#This Row],[Players Won]]*SimulationHistory[[#This Row],[Odds]]))/SimulationHistory[[#This Row],[Games]]*1,"")</f>
        <v/>
      </c>
      <c r="X13" s="27" t="s">
        <v>95</v>
      </c>
    </row>
    <row r="14" spans="4:30" x14ac:dyDescent="0.25">
      <c r="N14" s="19">
        <v>9</v>
      </c>
      <c r="O14" s="19"/>
      <c r="P14" s="19"/>
      <c r="Q14" s="19"/>
      <c r="R14" s="25"/>
      <c r="S14" s="32" t="str">
        <f>IFERROR(SimulationHistory[[#This Row],[House Won]]/SimulationHistory[[#This Row],[Games]],"")</f>
        <v/>
      </c>
      <c r="T14" s="5" t="str">
        <f>IFERROR(SimulationHistory[[#This Row],[Players Won]]/SimulationHistory[[#This Row],[Games]],"")</f>
        <v/>
      </c>
      <c r="U14" s="23"/>
      <c r="V14" s="24" t="str">
        <f>IFERROR((SimulationHistory[[#This Row],[House Won]]*1-(SimulationHistory[[#This Row],[Players Won]]*SimulationHistory[[#This Row],[Odds]]))/SimulationHistory[[#This Row],[Games]]*1,"")</f>
        <v/>
      </c>
      <c r="X14" s="31" t="s">
        <v>52</v>
      </c>
    </row>
    <row r="15" spans="4:30" x14ac:dyDescent="0.25">
      <c r="N15" s="19">
        <v>10</v>
      </c>
      <c r="O15" s="19"/>
      <c r="P15" s="19"/>
      <c r="Q15" s="19"/>
      <c r="R15" s="25"/>
      <c r="S15" s="32" t="str">
        <f>IFERROR(SimulationHistory[[#This Row],[House Won]]/SimulationHistory[[#This Row],[Games]],"")</f>
        <v/>
      </c>
      <c r="T15" s="5" t="str">
        <f>IFERROR(SimulationHistory[[#This Row],[Players Won]]/SimulationHistory[[#This Row],[Games]],"")</f>
        <v/>
      </c>
      <c r="U15" s="23"/>
      <c r="V15" s="24" t="str">
        <f>IFERROR((SimulationHistory[[#This Row],[House Won]]*1-(SimulationHistory[[#This Row],[Players Won]]*SimulationHistory[[#This Row],[Odds]]))/SimulationHistory[[#This Row],[Games]]*1,"")</f>
        <v/>
      </c>
      <c r="X15" s="30" t="s">
        <v>46</v>
      </c>
    </row>
    <row r="16" spans="4:30" x14ac:dyDescent="0.25">
      <c r="N16" s="19">
        <v>11</v>
      </c>
      <c r="O16" s="19"/>
      <c r="P16" s="19"/>
      <c r="Q16" s="19"/>
      <c r="R16" s="25"/>
      <c r="S16" s="32" t="str">
        <f>IFERROR(SimulationHistory[[#This Row],[House Won]]/SimulationHistory[[#This Row],[Games]],"")</f>
        <v/>
      </c>
      <c r="T16" s="5" t="str">
        <f>IFERROR(SimulationHistory[[#This Row],[Players Won]]/SimulationHistory[[#This Row],[Games]],"")</f>
        <v/>
      </c>
      <c r="U16" s="23"/>
      <c r="V16" s="24" t="str">
        <f>IFERROR((SimulationHistory[[#This Row],[House Won]]*1-(SimulationHistory[[#This Row],[Players Won]]*SimulationHistory[[#This Row],[Odds]]))/SimulationHistory[[#This Row],[Games]]*1,"")</f>
        <v/>
      </c>
      <c r="X16" s="27" t="s">
        <v>76</v>
      </c>
    </row>
    <row r="17" spans="2:24" x14ac:dyDescent="0.25">
      <c r="N17" s="19">
        <v>12</v>
      </c>
      <c r="O17" s="19"/>
      <c r="P17" s="19"/>
      <c r="Q17" s="19"/>
      <c r="R17" s="25"/>
      <c r="S17" s="32" t="str">
        <f>IFERROR(SimulationHistory[[#This Row],[House Won]]/SimulationHistory[[#This Row],[Games]],"")</f>
        <v/>
      </c>
      <c r="T17" s="5" t="str">
        <f>IFERROR(SimulationHistory[[#This Row],[Players Won]]/SimulationHistory[[#This Row],[Games]],"")</f>
        <v/>
      </c>
      <c r="U17" s="23"/>
      <c r="V17" s="24" t="str">
        <f>IFERROR((SimulationHistory[[#This Row],[House Won]]*1-(SimulationHistory[[#This Row],[Players Won]]*SimulationHistory[[#This Row],[Odds]]))/SimulationHistory[[#This Row],[Games]]*1,"")</f>
        <v/>
      </c>
      <c r="X17" s="27" t="s">
        <v>42</v>
      </c>
    </row>
    <row r="18" spans="2:24" x14ac:dyDescent="0.25">
      <c r="N18" s="19">
        <v>13</v>
      </c>
      <c r="O18" s="19"/>
      <c r="P18" s="19"/>
      <c r="Q18" s="19"/>
      <c r="R18" s="25"/>
      <c r="S18" s="32" t="str">
        <f>IFERROR(SimulationHistory[[#This Row],[House Won]]/SimulationHistory[[#This Row],[Games]],"")</f>
        <v/>
      </c>
      <c r="T18" s="5" t="str">
        <f>IFERROR(SimulationHistory[[#This Row],[Players Won]]/SimulationHistory[[#This Row],[Games]],"")</f>
        <v/>
      </c>
      <c r="U18" s="23"/>
      <c r="V18" s="24" t="str">
        <f>IFERROR((SimulationHistory[[#This Row],[House Won]]*1-(SimulationHistory[[#This Row],[Players Won]]*SimulationHistory[[#This Row],[Odds]]))/SimulationHistory[[#This Row],[Games]]*1,"")</f>
        <v/>
      </c>
      <c r="X18" s="27" t="s">
        <v>43</v>
      </c>
    </row>
    <row r="19" spans="2:24" x14ac:dyDescent="0.25">
      <c r="N19" s="19">
        <v>14</v>
      </c>
      <c r="O19" s="19"/>
      <c r="P19" s="19"/>
      <c r="Q19" s="19"/>
      <c r="R19" s="25"/>
      <c r="S19" s="32" t="str">
        <f>IFERROR(SimulationHistory[[#This Row],[House Won]]/SimulationHistory[[#This Row],[Games]],"")</f>
        <v/>
      </c>
      <c r="T19" s="5" t="str">
        <f>IFERROR(SimulationHistory[[#This Row],[Players Won]]/SimulationHistory[[#This Row],[Games]],"")</f>
        <v/>
      </c>
      <c r="U19" s="23"/>
      <c r="V19" s="24" t="str">
        <f>IFERROR((SimulationHistory[[#This Row],[House Won]]*1-(SimulationHistory[[#This Row],[Players Won]]*SimulationHistory[[#This Row],[Odds]]))/SimulationHistory[[#This Row],[Games]]*1,"")</f>
        <v/>
      </c>
      <c r="X19" s="31" t="s">
        <v>52</v>
      </c>
    </row>
    <row r="20" spans="2:24" x14ac:dyDescent="0.25">
      <c r="N20" s="19">
        <v>15</v>
      </c>
      <c r="O20" s="19"/>
      <c r="P20" s="19"/>
      <c r="Q20" s="19"/>
      <c r="R20" s="25"/>
      <c r="S20" s="32" t="str">
        <f>IFERROR(SimulationHistory[[#This Row],[House Won]]/SimulationHistory[[#This Row],[Games]],"")</f>
        <v/>
      </c>
      <c r="T20" s="5" t="str">
        <f>IFERROR(SimulationHistory[[#This Row],[Players Won]]/SimulationHistory[[#This Row],[Games]],"")</f>
        <v/>
      </c>
      <c r="U20" s="23"/>
      <c r="V20" s="24" t="str">
        <f>IFERROR((SimulationHistory[[#This Row],[House Won]]*1-(SimulationHistory[[#This Row],[Players Won]]*SimulationHistory[[#This Row],[Odds]]))/SimulationHistory[[#This Row],[Games]]*1,"")</f>
        <v/>
      </c>
      <c r="X20" s="30" t="s">
        <v>50</v>
      </c>
    </row>
    <row r="21" spans="2:24" ht="15.75" thickBot="1" x14ac:dyDescent="0.3">
      <c r="N21" s="10"/>
      <c r="O21" s="10"/>
      <c r="P21" s="10"/>
      <c r="Q21" s="11"/>
      <c r="R21" s="12"/>
      <c r="S21" s="12"/>
      <c r="T21" s="10"/>
      <c r="U21" s="10"/>
      <c r="X21" s="27" t="s">
        <v>91</v>
      </c>
    </row>
    <row r="22" spans="2:24" x14ac:dyDescent="0.25">
      <c r="C22" s="52">
        <v>2</v>
      </c>
      <c r="E22" s="52">
        <v>3</v>
      </c>
      <c r="G22" s="52">
        <v>7</v>
      </c>
      <c r="I22" s="52">
        <v>11</v>
      </c>
      <c r="K22" s="52">
        <v>12</v>
      </c>
      <c r="X22" s="31" t="s">
        <v>52</v>
      </c>
    </row>
    <row r="23" spans="2:24" x14ac:dyDescent="0.25">
      <c r="C23" s="53"/>
      <c r="E23" s="53"/>
      <c r="G23" s="53"/>
      <c r="I23" s="53"/>
      <c r="K23" s="53"/>
      <c r="X23" s="30" t="s">
        <v>54</v>
      </c>
    </row>
    <row r="24" spans="2:24" ht="15.75" customHeight="1" thickBot="1" x14ac:dyDescent="0.3">
      <c r="C24" s="54"/>
      <c r="E24" s="54"/>
      <c r="G24" s="54"/>
      <c r="I24" s="54"/>
      <c r="K24" s="54"/>
      <c r="X24" s="27" t="s">
        <v>58</v>
      </c>
    </row>
    <row r="25" spans="2:24" ht="15" customHeight="1" x14ac:dyDescent="0.25">
      <c r="C25" s="37" t="s">
        <v>7</v>
      </c>
      <c r="E25" s="37" t="s">
        <v>7</v>
      </c>
      <c r="G25" s="37" t="s">
        <v>6</v>
      </c>
      <c r="I25" s="37" t="s">
        <v>6</v>
      </c>
      <c r="K25" s="37" t="s">
        <v>7</v>
      </c>
      <c r="X25" s="27" t="s">
        <v>137</v>
      </c>
    </row>
    <row r="26" spans="2:24" ht="15.75" customHeight="1" thickBot="1" x14ac:dyDescent="0.3">
      <c r="B26" s="4"/>
      <c r="C26" s="38"/>
      <c r="D26" s="4"/>
      <c r="E26" s="38"/>
      <c r="F26" s="4"/>
      <c r="G26" s="38"/>
      <c r="H26" s="4"/>
      <c r="I26" s="38"/>
      <c r="J26" s="4"/>
      <c r="K26" s="38"/>
      <c r="X26" s="29" t="s">
        <v>44</v>
      </c>
    </row>
    <row r="27" spans="2:24" x14ac:dyDescent="0.25">
      <c r="B27" s="4"/>
      <c r="C27" s="13"/>
      <c r="D27" s="4"/>
      <c r="E27" s="13"/>
      <c r="F27" s="4"/>
      <c r="G27" s="13"/>
      <c r="H27" s="4"/>
      <c r="I27" s="13"/>
      <c r="J27" s="4"/>
      <c r="K27" s="13"/>
      <c r="X27" s="30" t="s">
        <v>57</v>
      </c>
    </row>
    <row r="28" spans="2:24" x14ac:dyDescent="0.25">
      <c r="B28" s="4"/>
      <c r="C28" s="13"/>
      <c r="D28" s="4"/>
      <c r="E28" s="13"/>
      <c r="F28" s="4"/>
      <c r="G28" s="13"/>
      <c r="H28" s="4"/>
      <c r="I28" s="13"/>
      <c r="J28" s="4"/>
      <c r="K28" s="13"/>
      <c r="X28" s="27" t="s">
        <v>41</v>
      </c>
    </row>
    <row r="29" spans="2:24" x14ac:dyDescent="0.25">
      <c r="B29" s="4"/>
      <c r="C29" s="13"/>
      <c r="D29" s="4"/>
      <c r="E29" s="13"/>
      <c r="F29" s="4"/>
      <c r="G29" s="13"/>
      <c r="H29" s="4"/>
      <c r="I29" s="13"/>
      <c r="J29" s="4"/>
      <c r="K29" s="13"/>
      <c r="X29" s="27" t="s">
        <v>48</v>
      </c>
    </row>
    <row r="30" spans="2:24" x14ac:dyDescent="0.25">
      <c r="B30" s="4"/>
      <c r="C30" s="13"/>
      <c r="D30" s="4"/>
      <c r="E30" s="13"/>
      <c r="F30" s="4"/>
      <c r="G30" s="13"/>
      <c r="H30" s="4"/>
      <c r="I30" s="13"/>
      <c r="J30" s="4"/>
      <c r="K30" s="13"/>
      <c r="X30" s="27" t="s">
        <v>133</v>
      </c>
    </row>
    <row r="31" spans="2:24" x14ac:dyDescent="0.25">
      <c r="B31" s="4"/>
      <c r="C31" s="13"/>
      <c r="D31" s="4"/>
      <c r="E31" s="13"/>
      <c r="F31" s="4"/>
      <c r="G31" s="13"/>
      <c r="H31" s="4"/>
      <c r="I31" s="13"/>
      <c r="J31" s="4"/>
      <c r="K31" s="13"/>
      <c r="X31" s="29" t="s">
        <v>44</v>
      </c>
    </row>
    <row r="32" spans="2:24" ht="15.75" thickBot="1" x14ac:dyDescent="0.3">
      <c r="X32" s="30" t="s">
        <v>62</v>
      </c>
    </row>
    <row r="33" spans="2:24" x14ac:dyDescent="0.25">
      <c r="C33" s="52">
        <v>2</v>
      </c>
      <c r="E33" s="52">
        <v>3</v>
      </c>
      <c r="G33" s="52">
        <v>7</v>
      </c>
      <c r="I33" s="52">
        <v>11</v>
      </c>
      <c r="K33" s="52">
        <v>12</v>
      </c>
      <c r="X33" s="27" t="s">
        <v>68</v>
      </c>
    </row>
    <row r="34" spans="2:24" x14ac:dyDescent="0.25">
      <c r="C34" s="53"/>
      <c r="E34" s="53"/>
      <c r="G34" s="53"/>
      <c r="I34" s="53"/>
      <c r="K34" s="53"/>
      <c r="X34" s="29" t="s">
        <v>44</v>
      </c>
    </row>
    <row r="35" spans="2:24" ht="15.75" thickBot="1" x14ac:dyDescent="0.3">
      <c r="C35" s="54"/>
      <c r="E35" s="54"/>
      <c r="G35" s="54"/>
      <c r="I35" s="54"/>
      <c r="K35" s="54"/>
      <c r="X35" s="30" t="s">
        <v>63</v>
      </c>
    </row>
    <row r="36" spans="2:24" x14ac:dyDescent="0.25">
      <c r="C36" s="37" t="s">
        <v>8</v>
      </c>
      <c r="E36" s="37" t="s">
        <v>8</v>
      </c>
      <c r="G36" s="37" t="s">
        <v>7</v>
      </c>
      <c r="I36" s="37" t="s">
        <v>8</v>
      </c>
      <c r="K36" s="37" t="s">
        <v>8</v>
      </c>
      <c r="X36" s="27" t="s">
        <v>41</v>
      </c>
    </row>
    <row r="37" spans="2:24" ht="15.75" thickBot="1" x14ac:dyDescent="0.3">
      <c r="B37" s="4"/>
      <c r="C37" s="38"/>
      <c r="D37" s="4"/>
      <c r="E37" s="38"/>
      <c r="F37" s="4"/>
      <c r="G37" s="38"/>
      <c r="H37" s="4"/>
      <c r="I37" s="38"/>
      <c r="J37" s="4"/>
      <c r="K37" s="38"/>
      <c r="X37" s="27" t="s">
        <v>56</v>
      </c>
    </row>
    <row r="38" spans="2:24" x14ac:dyDescent="0.25">
      <c r="O38" s="3" t="s">
        <v>29</v>
      </c>
      <c r="X38" s="27" t="s">
        <v>60</v>
      </c>
    </row>
    <row r="39" spans="2:24" x14ac:dyDescent="0.25">
      <c r="X39" s="27" t="s">
        <v>105</v>
      </c>
    </row>
    <row r="40" spans="2:24" ht="15.75" thickBot="1" x14ac:dyDescent="0.3">
      <c r="H40" s="8"/>
      <c r="X40" s="31" t="s">
        <v>52</v>
      </c>
    </row>
    <row r="41" spans="2:24" x14ac:dyDescent="0.25">
      <c r="C41" s="39" t="s">
        <v>31</v>
      </c>
      <c r="D41" s="40"/>
      <c r="F41" s="39" t="s">
        <v>30</v>
      </c>
      <c r="G41" s="40"/>
      <c r="H41" s="8"/>
      <c r="X41" s="30" t="s">
        <v>65</v>
      </c>
    </row>
    <row r="42" spans="2:24" x14ac:dyDescent="0.25">
      <c r="C42" s="41"/>
      <c r="D42" s="42"/>
      <c r="F42" s="41"/>
      <c r="G42" s="42"/>
      <c r="H42" s="8"/>
      <c r="X42" s="27" t="s">
        <v>47</v>
      </c>
    </row>
    <row r="43" spans="2:24" ht="15.75" thickBot="1" x14ac:dyDescent="0.3">
      <c r="C43" s="41"/>
      <c r="D43" s="42"/>
      <c r="F43" s="41"/>
      <c r="G43" s="42"/>
      <c r="H43" s="8"/>
      <c r="X43" s="27" t="s">
        <v>51</v>
      </c>
    </row>
    <row r="44" spans="2:24" x14ac:dyDescent="0.25">
      <c r="C44" s="33">
        <v>1000</v>
      </c>
      <c r="D44" s="34"/>
      <c r="F44" s="33">
        <v>1</v>
      </c>
      <c r="G44" s="34"/>
      <c r="X44" s="27" t="s">
        <v>66</v>
      </c>
    </row>
    <row r="45" spans="2:24" ht="15.75" thickBot="1" x14ac:dyDescent="0.3">
      <c r="C45" s="35"/>
      <c r="D45" s="36"/>
      <c r="F45" s="35"/>
      <c r="G45" s="36"/>
      <c r="X45" s="31" t="s">
        <v>52</v>
      </c>
    </row>
    <row r="46" spans="2:24" x14ac:dyDescent="0.25">
      <c r="X46" s="30" t="s">
        <v>67</v>
      </c>
    </row>
    <row r="47" spans="2:24" x14ac:dyDescent="0.25">
      <c r="X47" s="27" t="s">
        <v>58</v>
      </c>
    </row>
    <row r="48" spans="2:24" ht="15.75" thickBot="1" x14ac:dyDescent="0.3">
      <c r="X48" s="27" t="s">
        <v>64</v>
      </c>
    </row>
    <row r="49" spans="3:24" x14ac:dyDescent="0.25">
      <c r="C49" s="39" t="s">
        <v>35</v>
      </c>
      <c r="D49" s="43"/>
      <c r="X49" s="31" t="s">
        <v>52</v>
      </c>
    </row>
    <row r="50" spans="3:24" x14ac:dyDescent="0.25">
      <c r="C50" s="44"/>
      <c r="D50" s="45"/>
      <c r="X50" s="30" t="s">
        <v>69</v>
      </c>
    </row>
    <row r="51" spans="3:24" ht="15.75" thickBot="1" x14ac:dyDescent="0.3">
      <c r="C51" s="44"/>
      <c r="D51" s="45"/>
      <c r="X51" s="27" t="s">
        <v>76</v>
      </c>
    </row>
    <row r="52" spans="3:24" x14ac:dyDescent="0.25">
      <c r="C52" s="33">
        <v>50</v>
      </c>
      <c r="D52" s="34"/>
      <c r="X52" s="27" t="s">
        <v>97</v>
      </c>
    </row>
    <row r="53" spans="3:24" ht="15.75" thickBot="1" x14ac:dyDescent="0.3">
      <c r="C53" s="35"/>
      <c r="D53" s="36"/>
      <c r="X53" s="29" t="s">
        <v>44</v>
      </c>
    </row>
    <row r="54" spans="3:24" x14ac:dyDescent="0.25">
      <c r="X54" s="30" t="s">
        <v>73</v>
      </c>
    </row>
    <row r="55" spans="3:24" x14ac:dyDescent="0.25">
      <c r="X55" s="27" t="s">
        <v>128</v>
      </c>
    </row>
    <row r="56" spans="3:24" x14ac:dyDescent="0.25">
      <c r="X56" s="29" t="s">
        <v>44</v>
      </c>
    </row>
    <row r="57" spans="3:24" x14ac:dyDescent="0.25">
      <c r="X57" s="30" t="s">
        <v>74</v>
      </c>
    </row>
    <row r="58" spans="3:24" x14ac:dyDescent="0.25">
      <c r="X58" s="27" t="s">
        <v>58</v>
      </c>
    </row>
    <row r="59" spans="3:24" x14ac:dyDescent="0.25">
      <c r="X59" s="27" t="s">
        <v>84</v>
      </c>
    </row>
    <row r="60" spans="3:24" x14ac:dyDescent="0.25">
      <c r="X60" s="29" t="s">
        <v>44</v>
      </c>
    </row>
    <row r="61" spans="3:24" x14ac:dyDescent="0.25">
      <c r="X61" s="30" t="s">
        <v>75</v>
      </c>
    </row>
    <row r="62" spans="3:24" x14ac:dyDescent="0.25">
      <c r="X62" s="27" t="s">
        <v>91</v>
      </c>
    </row>
    <row r="63" spans="3:24" x14ac:dyDescent="0.25">
      <c r="X63" s="31" t="s">
        <v>52</v>
      </c>
    </row>
    <row r="64" spans="3:24" x14ac:dyDescent="0.25">
      <c r="X64" s="30" t="s">
        <v>79</v>
      </c>
    </row>
    <row r="65" spans="24:24" x14ac:dyDescent="0.25">
      <c r="X65" s="27" t="s">
        <v>55</v>
      </c>
    </row>
    <row r="66" spans="24:24" x14ac:dyDescent="0.25">
      <c r="X66" s="27" t="s">
        <v>48</v>
      </c>
    </row>
    <row r="67" spans="24:24" x14ac:dyDescent="0.25">
      <c r="X67" s="27" t="s">
        <v>77</v>
      </c>
    </row>
    <row r="68" spans="24:24" x14ac:dyDescent="0.25">
      <c r="X68" s="27" t="s">
        <v>135</v>
      </c>
    </row>
    <row r="69" spans="24:24" x14ac:dyDescent="0.25">
      <c r="X69" s="27" t="s">
        <v>127</v>
      </c>
    </row>
    <row r="70" spans="24:24" x14ac:dyDescent="0.25">
      <c r="X70" s="27" t="s">
        <v>49</v>
      </c>
    </row>
    <row r="71" spans="24:24" x14ac:dyDescent="0.25">
      <c r="X71" s="31" t="s">
        <v>52</v>
      </c>
    </row>
    <row r="72" spans="24:24" x14ac:dyDescent="0.25">
      <c r="X72" s="30" t="s">
        <v>82</v>
      </c>
    </row>
    <row r="73" spans="24:24" x14ac:dyDescent="0.25">
      <c r="X73" s="27" t="s">
        <v>41</v>
      </c>
    </row>
    <row r="74" spans="24:24" x14ac:dyDescent="0.25">
      <c r="X74" s="27" t="s">
        <v>64</v>
      </c>
    </row>
    <row r="75" spans="24:24" x14ac:dyDescent="0.25">
      <c r="X75" s="31" t="s">
        <v>52</v>
      </c>
    </row>
    <row r="76" spans="24:24" x14ac:dyDescent="0.25">
      <c r="X76" s="30" t="s">
        <v>83</v>
      </c>
    </row>
    <row r="77" spans="24:24" x14ac:dyDescent="0.25">
      <c r="X77" s="27" t="s">
        <v>94</v>
      </c>
    </row>
    <row r="78" spans="24:24" x14ac:dyDescent="0.25">
      <c r="X78" s="27" t="s">
        <v>59</v>
      </c>
    </row>
    <row r="79" spans="24:24" x14ac:dyDescent="0.25">
      <c r="X79" s="27" t="s">
        <v>80</v>
      </c>
    </row>
    <row r="80" spans="24:24" x14ac:dyDescent="0.25">
      <c r="X80" s="27" t="s">
        <v>78</v>
      </c>
    </row>
    <row r="81" spans="24:24" x14ac:dyDescent="0.25">
      <c r="X81" s="27" t="s">
        <v>88</v>
      </c>
    </row>
    <row r="82" spans="24:24" x14ac:dyDescent="0.25">
      <c r="X82" s="31" t="s">
        <v>52</v>
      </c>
    </row>
    <row r="83" spans="24:24" x14ac:dyDescent="0.25">
      <c r="X83" s="30" t="s">
        <v>87</v>
      </c>
    </row>
    <row r="84" spans="24:24" x14ac:dyDescent="0.25">
      <c r="X84" s="27" t="s">
        <v>58</v>
      </c>
    </row>
    <row r="85" spans="24:24" x14ac:dyDescent="0.25">
      <c r="X85" s="27" t="s">
        <v>59</v>
      </c>
    </row>
    <row r="86" spans="24:24" x14ac:dyDescent="0.25">
      <c r="X86" s="27" t="s">
        <v>134</v>
      </c>
    </row>
    <row r="87" spans="24:24" x14ac:dyDescent="0.25">
      <c r="X87" s="29" t="s">
        <v>44</v>
      </c>
    </row>
    <row r="88" spans="24:24" x14ac:dyDescent="0.25">
      <c r="X88" s="30" t="s">
        <v>89</v>
      </c>
    </row>
    <row r="89" spans="24:24" x14ac:dyDescent="0.25">
      <c r="X89" s="27" t="s">
        <v>76</v>
      </c>
    </row>
    <row r="90" spans="24:24" x14ac:dyDescent="0.25">
      <c r="X90" s="27" t="s">
        <v>59</v>
      </c>
    </row>
    <row r="91" spans="24:24" x14ac:dyDescent="0.25">
      <c r="X91" s="31" t="s">
        <v>52</v>
      </c>
    </row>
    <row r="92" spans="24:24" x14ac:dyDescent="0.25">
      <c r="X92" s="30" t="s">
        <v>90</v>
      </c>
    </row>
    <row r="93" spans="24:24" x14ac:dyDescent="0.25">
      <c r="X93" s="27" t="s">
        <v>91</v>
      </c>
    </row>
    <row r="94" spans="24:24" x14ac:dyDescent="0.25">
      <c r="X94" s="31" t="s">
        <v>52</v>
      </c>
    </row>
    <row r="95" spans="24:24" x14ac:dyDescent="0.25">
      <c r="X95" s="30" t="s">
        <v>92</v>
      </c>
    </row>
    <row r="96" spans="24:24" x14ac:dyDescent="0.25">
      <c r="X96" s="27" t="s">
        <v>58</v>
      </c>
    </row>
    <row r="97" spans="24:24" x14ac:dyDescent="0.25">
      <c r="X97" s="27" t="s">
        <v>48</v>
      </c>
    </row>
    <row r="98" spans="24:24" x14ac:dyDescent="0.25">
      <c r="X98" s="27" t="s">
        <v>66</v>
      </c>
    </row>
    <row r="99" spans="24:24" x14ac:dyDescent="0.25">
      <c r="X99" s="27" t="s">
        <v>135</v>
      </c>
    </row>
    <row r="100" spans="24:24" x14ac:dyDescent="0.25">
      <c r="X100" s="27" t="s">
        <v>72</v>
      </c>
    </row>
    <row r="101" spans="24:24" x14ac:dyDescent="0.25">
      <c r="X101" s="27" t="s">
        <v>136</v>
      </c>
    </row>
    <row r="102" spans="24:24" x14ac:dyDescent="0.25">
      <c r="X102" s="27" t="s">
        <v>139</v>
      </c>
    </row>
    <row r="103" spans="24:24" x14ac:dyDescent="0.25">
      <c r="X103" s="27" t="s">
        <v>131</v>
      </c>
    </row>
    <row r="104" spans="24:24" x14ac:dyDescent="0.25">
      <c r="X104" s="27" t="s">
        <v>140</v>
      </c>
    </row>
    <row r="105" spans="24:24" x14ac:dyDescent="0.25">
      <c r="X105" s="29" t="s">
        <v>44</v>
      </c>
    </row>
    <row r="106" spans="24:24" x14ac:dyDescent="0.25">
      <c r="X106" s="30" t="s">
        <v>93</v>
      </c>
    </row>
    <row r="107" spans="24:24" x14ac:dyDescent="0.25">
      <c r="X107" s="27" t="s">
        <v>58</v>
      </c>
    </row>
    <row r="108" spans="24:24" x14ac:dyDescent="0.25">
      <c r="X108" s="27" t="s">
        <v>64</v>
      </c>
    </row>
    <row r="109" spans="24:24" x14ac:dyDescent="0.25">
      <c r="X109" s="31" t="s">
        <v>52</v>
      </c>
    </row>
    <row r="110" spans="24:24" x14ac:dyDescent="0.25">
      <c r="X110" s="30" t="s">
        <v>96</v>
      </c>
    </row>
    <row r="111" spans="24:24" x14ac:dyDescent="0.25">
      <c r="X111" s="27" t="s">
        <v>91</v>
      </c>
    </row>
    <row r="112" spans="24:24" x14ac:dyDescent="0.25">
      <c r="X112" s="31" t="s">
        <v>52</v>
      </c>
    </row>
    <row r="113" spans="24:24" x14ac:dyDescent="0.25">
      <c r="X113" s="30" t="s">
        <v>98</v>
      </c>
    </row>
    <row r="114" spans="24:24" x14ac:dyDescent="0.25">
      <c r="X114" s="27" t="s">
        <v>68</v>
      </c>
    </row>
    <row r="115" spans="24:24" x14ac:dyDescent="0.25">
      <c r="X115" s="29" t="s">
        <v>44</v>
      </c>
    </row>
    <row r="116" spans="24:24" x14ac:dyDescent="0.25">
      <c r="X116" s="30" t="s">
        <v>99</v>
      </c>
    </row>
    <row r="117" spans="24:24" x14ac:dyDescent="0.25">
      <c r="X117" s="27" t="s">
        <v>128</v>
      </c>
    </row>
    <row r="118" spans="24:24" x14ac:dyDescent="0.25">
      <c r="X118" s="29" t="s">
        <v>44</v>
      </c>
    </row>
    <row r="119" spans="24:24" x14ac:dyDescent="0.25">
      <c r="X119" s="30" t="s">
        <v>100</v>
      </c>
    </row>
    <row r="120" spans="24:24" x14ac:dyDescent="0.25">
      <c r="X120" s="27" t="s">
        <v>68</v>
      </c>
    </row>
    <row r="121" spans="24:24" x14ac:dyDescent="0.25">
      <c r="X121" s="29" t="s">
        <v>44</v>
      </c>
    </row>
    <row r="122" spans="24:24" x14ac:dyDescent="0.25">
      <c r="X122" s="30" t="s">
        <v>101</v>
      </c>
    </row>
    <row r="123" spans="24:24" x14ac:dyDescent="0.25">
      <c r="X123" s="27" t="s">
        <v>128</v>
      </c>
    </row>
    <row r="124" spans="24:24" x14ac:dyDescent="0.25">
      <c r="X124" s="29" t="s">
        <v>44</v>
      </c>
    </row>
    <row r="125" spans="24:24" x14ac:dyDescent="0.25">
      <c r="X125" s="30" t="s">
        <v>102</v>
      </c>
    </row>
    <row r="126" spans="24:24" x14ac:dyDescent="0.25">
      <c r="X126" s="27" t="s">
        <v>91</v>
      </c>
    </row>
    <row r="127" spans="24:24" x14ac:dyDescent="0.25">
      <c r="X127" s="31" t="s">
        <v>52</v>
      </c>
    </row>
    <row r="128" spans="24:24" x14ac:dyDescent="0.25">
      <c r="X128" s="30" t="s">
        <v>103</v>
      </c>
    </row>
    <row r="129" spans="24:24" x14ac:dyDescent="0.25">
      <c r="X129" s="27" t="s">
        <v>41</v>
      </c>
    </row>
    <row r="130" spans="24:24" x14ac:dyDescent="0.25">
      <c r="X130" s="27" t="s">
        <v>70</v>
      </c>
    </row>
    <row r="131" spans="24:24" x14ac:dyDescent="0.25">
      <c r="X131" s="27" t="s">
        <v>77</v>
      </c>
    </row>
    <row r="132" spans="24:24" x14ac:dyDescent="0.25">
      <c r="X132" s="27" t="s">
        <v>85</v>
      </c>
    </row>
    <row r="133" spans="24:24" x14ac:dyDescent="0.25">
      <c r="X133" s="27" t="s">
        <v>88</v>
      </c>
    </row>
    <row r="134" spans="24:24" x14ac:dyDescent="0.25">
      <c r="X134" s="31" t="s">
        <v>52</v>
      </c>
    </row>
    <row r="135" spans="24:24" x14ac:dyDescent="0.25">
      <c r="X135" s="30" t="s">
        <v>104</v>
      </c>
    </row>
    <row r="136" spans="24:24" x14ac:dyDescent="0.25">
      <c r="X136" s="27" t="s">
        <v>132</v>
      </c>
    </row>
    <row r="137" spans="24:24" x14ac:dyDescent="0.25">
      <c r="X137" s="29" t="s">
        <v>44</v>
      </c>
    </row>
    <row r="138" spans="24:24" x14ac:dyDescent="0.25">
      <c r="X138" s="30" t="s">
        <v>106</v>
      </c>
    </row>
    <row r="139" spans="24:24" x14ac:dyDescent="0.25">
      <c r="X139" s="27" t="s">
        <v>68</v>
      </c>
    </row>
    <row r="140" spans="24:24" x14ac:dyDescent="0.25">
      <c r="X140" s="29" t="s">
        <v>44</v>
      </c>
    </row>
    <row r="141" spans="24:24" x14ac:dyDescent="0.25">
      <c r="X141" s="30" t="s">
        <v>107</v>
      </c>
    </row>
    <row r="142" spans="24:24" x14ac:dyDescent="0.25">
      <c r="X142" s="27" t="s">
        <v>142</v>
      </c>
    </row>
    <row r="143" spans="24:24" x14ac:dyDescent="0.25">
      <c r="X143" s="29" t="s">
        <v>44</v>
      </c>
    </row>
    <row r="144" spans="24:24" x14ac:dyDescent="0.25">
      <c r="X144" s="30" t="s">
        <v>108</v>
      </c>
    </row>
    <row r="145" spans="24:24" x14ac:dyDescent="0.25">
      <c r="X145" s="27" t="s">
        <v>76</v>
      </c>
    </row>
    <row r="146" spans="24:24" x14ac:dyDescent="0.25">
      <c r="X146" s="27" t="s">
        <v>56</v>
      </c>
    </row>
    <row r="147" spans="24:24" x14ac:dyDescent="0.25">
      <c r="X147" s="27" t="s">
        <v>141</v>
      </c>
    </row>
    <row r="148" spans="24:24" x14ac:dyDescent="0.25">
      <c r="X148" s="29" t="s">
        <v>44</v>
      </c>
    </row>
    <row r="149" spans="24:24" x14ac:dyDescent="0.25">
      <c r="X149" s="30" t="s">
        <v>109</v>
      </c>
    </row>
    <row r="150" spans="24:24" x14ac:dyDescent="0.25">
      <c r="X150" s="27" t="s">
        <v>55</v>
      </c>
    </row>
    <row r="151" spans="24:24" x14ac:dyDescent="0.25">
      <c r="X151" s="27" t="s">
        <v>59</v>
      </c>
    </row>
    <row r="152" spans="24:24" x14ac:dyDescent="0.25">
      <c r="X152" s="27" t="s">
        <v>138</v>
      </c>
    </row>
    <row r="153" spans="24:24" x14ac:dyDescent="0.25">
      <c r="X153" s="29" t="s">
        <v>44</v>
      </c>
    </row>
    <row r="154" spans="24:24" x14ac:dyDescent="0.25">
      <c r="X154" s="30" t="s">
        <v>110</v>
      </c>
    </row>
    <row r="155" spans="24:24" x14ac:dyDescent="0.25">
      <c r="X155" s="27" t="s">
        <v>142</v>
      </c>
    </row>
    <row r="156" spans="24:24" x14ac:dyDescent="0.25">
      <c r="X156" s="29" t="s">
        <v>44</v>
      </c>
    </row>
    <row r="157" spans="24:24" x14ac:dyDescent="0.25">
      <c r="X157" s="30" t="s">
        <v>111</v>
      </c>
    </row>
    <row r="158" spans="24:24" x14ac:dyDescent="0.25">
      <c r="X158" s="27" t="s">
        <v>58</v>
      </c>
    </row>
    <row r="159" spans="24:24" x14ac:dyDescent="0.25">
      <c r="X159" s="27" t="s">
        <v>84</v>
      </c>
    </row>
    <row r="160" spans="24:24" x14ac:dyDescent="0.25">
      <c r="X160" s="29" t="s">
        <v>44</v>
      </c>
    </row>
    <row r="161" spans="24:24" x14ac:dyDescent="0.25">
      <c r="X161" s="30" t="s">
        <v>112</v>
      </c>
    </row>
    <row r="162" spans="24:24" x14ac:dyDescent="0.25">
      <c r="X162" s="27" t="s">
        <v>68</v>
      </c>
    </row>
    <row r="163" spans="24:24" x14ac:dyDescent="0.25">
      <c r="X163" s="29" t="s">
        <v>44</v>
      </c>
    </row>
    <row r="164" spans="24:24" x14ac:dyDescent="0.25">
      <c r="X164" s="30" t="s">
        <v>113</v>
      </c>
    </row>
    <row r="165" spans="24:24" x14ac:dyDescent="0.25">
      <c r="X165" s="27" t="s">
        <v>68</v>
      </c>
    </row>
    <row r="166" spans="24:24" x14ac:dyDescent="0.25">
      <c r="X166" s="29" t="s">
        <v>44</v>
      </c>
    </row>
    <row r="167" spans="24:24" x14ac:dyDescent="0.25">
      <c r="X167" s="30" t="s">
        <v>114</v>
      </c>
    </row>
    <row r="168" spans="24:24" x14ac:dyDescent="0.25">
      <c r="X168" s="27" t="s">
        <v>91</v>
      </c>
    </row>
    <row r="169" spans="24:24" x14ac:dyDescent="0.25">
      <c r="X169" s="31" t="s">
        <v>52</v>
      </c>
    </row>
    <row r="170" spans="24:24" x14ac:dyDescent="0.25">
      <c r="X170" s="30" t="s">
        <v>115</v>
      </c>
    </row>
    <row r="171" spans="24:24" x14ac:dyDescent="0.25">
      <c r="X171" s="27" t="s">
        <v>47</v>
      </c>
    </row>
    <row r="172" spans="24:24" x14ac:dyDescent="0.25">
      <c r="X172" s="27" t="s">
        <v>56</v>
      </c>
    </row>
    <row r="173" spans="24:24" x14ac:dyDescent="0.25">
      <c r="X173" s="27" t="s">
        <v>60</v>
      </c>
    </row>
    <row r="174" spans="24:24" x14ac:dyDescent="0.25">
      <c r="X174" s="27" t="s">
        <v>85</v>
      </c>
    </row>
    <row r="175" spans="24:24" x14ac:dyDescent="0.25">
      <c r="X175" s="27" t="s">
        <v>127</v>
      </c>
    </row>
    <row r="176" spans="24:24" x14ac:dyDescent="0.25">
      <c r="X176" s="27" t="s">
        <v>49</v>
      </c>
    </row>
    <row r="177" spans="24:24" x14ac:dyDescent="0.25">
      <c r="X177" s="31" t="s">
        <v>52</v>
      </c>
    </row>
    <row r="178" spans="24:24" x14ac:dyDescent="0.25">
      <c r="X178" s="30" t="s">
        <v>116</v>
      </c>
    </row>
    <row r="179" spans="24:24" x14ac:dyDescent="0.25">
      <c r="X179" s="27" t="s">
        <v>58</v>
      </c>
    </row>
    <row r="180" spans="24:24" x14ac:dyDescent="0.25">
      <c r="X180" s="27" t="s">
        <v>59</v>
      </c>
    </row>
    <row r="181" spans="24:24" x14ac:dyDescent="0.25">
      <c r="X181" s="27" t="s">
        <v>80</v>
      </c>
    </row>
    <row r="182" spans="24:24" x14ac:dyDescent="0.25">
      <c r="X182" s="27" t="s">
        <v>129</v>
      </c>
    </row>
    <row r="183" spans="24:24" x14ac:dyDescent="0.25">
      <c r="X183" s="29" t="s">
        <v>44</v>
      </c>
    </row>
    <row r="184" spans="24:24" x14ac:dyDescent="0.25">
      <c r="X184" s="30" t="s">
        <v>117</v>
      </c>
    </row>
    <row r="185" spans="24:24" x14ac:dyDescent="0.25">
      <c r="X185" s="27" t="s">
        <v>41</v>
      </c>
    </row>
    <row r="186" spans="24:24" x14ac:dyDescent="0.25">
      <c r="X186" s="27" t="s">
        <v>84</v>
      </c>
    </row>
    <row r="187" spans="24:24" x14ac:dyDescent="0.25">
      <c r="X187" s="29" t="s">
        <v>44</v>
      </c>
    </row>
    <row r="188" spans="24:24" x14ac:dyDescent="0.25">
      <c r="X188" s="30" t="s">
        <v>118</v>
      </c>
    </row>
    <row r="189" spans="24:24" x14ac:dyDescent="0.25">
      <c r="X189" s="27" t="s">
        <v>91</v>
      </c>
    </row>
    <row r="190" spans="24:24" x14ac:dyDescent="0.25">
      <c r="X190" s="31" t="s">
        <v>52</v>
      </c>
    </row>
    <row r="191" spans="24:24" x14ac:dyDescent="0.25">
      <c r="X191" s="30" t="s">
        <v>119</v>
      </c>
    </row>
    <row r="192" spans="24:24" x14ac:dyDescent="0.25">
      <c r="X192" s="27" t="s">
        <v>55</v>
      </c>
    </row>
    <row r="193" spans="24:24" x14ac:dyDescent="0.25">
      <c r="X193" s="27" t="s">
        <v>64</v>
      </c>
    </row>
    <row r="194" spans="24:24" x14ac:dyDescent="0.25">
      <c r="X194" s="31" t="s">
        <v>52</v>
      </c>
    </row>
    <row r="195" spans="24:24" x14ac:dyDescent="0.25">
      <c r="X195" s="30" t="s">
        <v>120</v>
      </c>
    </row>
    <row r="196" spans="24:24" x14ac:dyDescent="0.25">
      <c r="X196" s="27" t="s">
        <v>132</v>
      </c>
    </row>
    <row r="197" spans="24:24" x14ac:dyDescent="0.25">
      <c r="X197" s="29" t="s">
        <v>44</v>
      </c>
    </row>
    <row r="198" spans="24:24" x14ac:dyDescent="0.25">
      <c r="X198" s="30" t="s">
        <v>121</v>
      </c>
    </row>
    <row r="199" spans="24:24" x14ac:dyDescent="0.25">
      <c r="X199" s="27" t="s">
        <v>132</v>
      </c>
    </row>
    <row r="200" spans="24:24" x14ac:dyDescent="0.25">
      <c r="X200" s="29" t="s">
        <v>44</v>
      </c>
    </row>
    <row r="201" spans="24:24" x14ac:dyDescent="0.25">
      <c r="X201" s="30" t="s">
        <v>122</v>
      </c>
    </row>
    <row r="202" spans="24:24" x14ac:dyDescent="0.25">
      <c r="X202" s="27" t="s">
        <v>94</v>
      </c>
    </row>
    <row r="203" spans="24:24" x14ac:dyDescent="0.25">
      <c r="X203" s="27" t="s">
        <v>59</v>
      </c>
    </row>
    <row r="204" spans="24:24" x14ac:dyDescent="0.25">
      <c r="X204" s="27" t="s">
        <v>43</v>
      </c>
    </row>
    <row r="205" spans="24:24" x14ac:dyDescent="0.25">
      <c r="X205" s="31" t="s">
        <v>52</v>
      </c>
    </row>
    <row r="206" spans="24:24" x14ac:dyDescent="0.25">
      <c r="X206" s="30" t="s">
        <v>123</v>
      </c>
    </row>
    <row r="207" spans="24:24" x14ac:dyDescent="0.25">
      <c r="X207" s="27" t="s">
        <v>94</v>
      </c>
    </row>
    <row r="208" spans="24:24" x14ac:dyDescent="0.25">
      <c r="X208" s="27" t="s">
        <v>56</v>
      </c>
    </row>
    <row r="209" spans="24:24" x14ac:dyDescent="0.25">
      <c r="X209" s="27" t="s">
        <v>71</v>
      </c>
    </row>
    <row r="210" spans="24:24" x14ac:dyDescent="0.25">
      <c r="X210" s="27" t="s">
        <v>85</v>
      </c>
    </row>
    <row r="211" spans="24:24" x14ac:dyDescent="0.25">
      <c r="X211" s="27" t="s">
        <v>61</v>
      </c>
    </row>
    <row r="212" spans="24:24" x14ac:dyDescent="0.25">
      <c r="X212" s="27" t="s">
        <v>143</v>
      </c>
    </row>
    <row r="213" spans="24:24" x14ac:dyDescent="0.25">
      <c r="X213" s="29" t="s">
        <v>44</v>
      </c>
    </row>
    <row r="214" spans="24:24" x14ac:dyDescent="0.25">
      <c r="X214" s="30" t="s">
        <v>124</v>
      </c>
    </row>
    <row r="215" spans="24:24" x14ac:dyDescent="0.25">
      <c r="X215" s="27" t="s">
        <v>55</v>
      </c>
    </row>
    <row r="216" spans="24:24" x14ac:dyDescent="0.25">
      <c r="X216" s="27" t="s">
        <v>64</v>
      </c>
    </row>
    <row r="217" spans="24:24" x14ac:dyDescent="0.25">
      <c r="X217" s="31" t="s">
        <v>52</v>
      </c>
    </row>
    <row r="218" spans="24:24" x14ac:dyDescent="0.25">
      <c r="X218" s="30" t="s">
        <v>125</v>
      </c>
    </row>
    <row r="219" spans="24:24" x14ac:dyDescent="0.25">
      <c r="X219" s="27" t="s">
        <v>76</v>
      </c>
    </row>
    <row r="220" spans="24:24" x14ac:dyDescent="0.25">
      <c r="X220" s="27" t="s">
        <v>70</v>
      </c>
    </row>
    <row r="221" spans="24:24" x14ac:dyDescent="0.25">
      <c r="X221" s="27" t="s">
        <v>134</v>
      </c>
    </row>
    <row r="222" spans="24:24" x14ac:dyDescent="0.25">
      <c r="X222" s="29" t="s">
        <v>44</v>
      </c>
    </row>
    <row r="223" spans="24:24" x14ac:dyDescent="0.25">
      <c r="X223" s="30" t="s">
        <v>126</v>
      </c>
    </row>
    <row r="224" spans="24:24" x14ac:dyDescent="0.25">
      <c r="X224" s="27" t="s">
        <v>94</v>
      </c>
    </row>
    <row r="225" spans="24:24" x14ac:dyDescent="0.25">
      <c r="X225" s="27" t="s">
        <v>51</v>
      </c>
    </row>
    <row r="226" spans="24:24" x14ac:dyDescent="0.25">
      <c r="X226" s="27" t="s">
        <v>133</v>
      </c>
    </row>
    <row r="227" spans="24:24" x14ac:dyDescent="0.25">
      <c r="X227" s="29" t="s">
        <v>44</v>
      </c>
    </row>
    <row r="228" spans="24:24" x14ac:dyDescent="0.25">
      <c r="X228" s="27"/>
    </row>
    <row r="229" spans="24:24" x14ac:dyDescent="0.25">
      <c r="X229" s="31"/>
    </row>
    <row r="230" spans="24:24" x14ac:dyDescent="0.25">
      <c r="X230" s="30"/>
    </row>
    <row r="231" spans="24:24" x14ac:dyDescent="0.25">
      <c r="X231" s="27"/>
    </row>
    <row r="232" spans="24:24" x14ac:dyDescent="0.25">
      <c r="X232" s="29"/>
    </row>
    <row r="233" spans="24:24" x14ac:dyDescent="0.25">
      <c r="X233" s="30"/>
    </row>
    <row r="234" spans="24:24" x14ac:dyDescent="0.25">
      <c r="X234" s="27"/>
    </row>
    <row r="235" spans="24:24" x14ac:dyDescent="0.25">
      <c r="X235" s="27"/>
    </row>
    <row r="236" spans="24:24" x14ac:dyDescent="0.25">
      <c r="X236" s="27"/>
    </row>
    <row r="237" spans="24:24" x14ac:dyDescent="0.25">
      <c r="X237" s="29"/>
    </row>
    <row r="238" spans="24:24" x14ac:dyDescent="0.25">
      <c r="X238" s="30"/>
    </row>
    <row r="239" spans="24:24" x14ac:dyDescent="0.25">
      <c r="X239" s="27"/>
    </row>
    <row r="240" spans="24:24" x14ac:dyDescent="0.25">
      <c r="X240" s="29"/>
    </row>
    <row r="241" spans="24:24" x14ac:dyDescent="0.25">
      <c r="X241" s="30"/>
    </row>
    <row r="242" spans="24:24" x14ac:dyDescent="0.25">
      <c r="X242" s="27"/>
    </row>
    <row r="243" spans="24:24" x14ac:dyDescent="0.25">
      <c r="X243" s="29"/>
    </row>
    <row r="244" spans="24:24" x14ac:dyDescent="0.25">
      <c r="X244" s="30"/>
    </row>
    <row r="245" spans="24:24" x14ac:dyDescent="0.25">
      <c r="X245" s="27"/>
    </row>
    <row r="246" spans="24:24" x14ac:dyDescent="0.25">
      <c r="X246" s="29"/>
    </row>
    <row r="247" spans="24:24" x14ac:dyDescent="0.25">
      <c r="X247" s="30"/>
    </row>
    <row r="248" spans="24:24" x14ac:dyDescent="0.25">
      <c r="X248" s="27"/>
    </row>
    <row r="249" spans="24:24" x14ac:dyDescent="0.25">
      <c r="X249" s="27"/>
    </row>
    <row r="250" spans="24:24" x14ac:dyDescent="0.25">
      <c r="X250" s="27"/>
    </row>
    <row r="251" spans="24:24" x14ac:dyDescent="0.25">
      <c r="X251" s="27"/>
    </row>
    <row r="252" spans="24:24" x14ac:dyDescent="0.25">
      <c r="X252" s="27"/>
    </row>
    <row r="253" spans="24:24" x14ac:dyDescent="0.25">
      <c r="X253" s="27"/>
    </row>
    <row r="254" spans="24:24" x14ac:dyDescent="0.25">
      <c r="X254" s="31"/>
    </row>
    <row r="255" spans="24:24" x14ac:dyDescent="0.25">
      <c r="X255" s="30"/>
    </row>
    <row r="256" spans="24:24" x14ac:dyDescent="0.25">
      <c r="X256" s="27"/>
    </row>
    <row r="257" spans="24:24" x14ac:dyDescent="0.25">
      <c r="X257" s="29"/>
    </row>
    <row r="258" spans="24:24" x14ac:dyDescent="0.25">
      <c r="X258" s="27"/>
    </row>
    <row r="259" spans="24:24" x14ac:dyDescent="0.25">
      <c r="X259" s="31"/>
    </row>
    <row r="260" spans="24:24" x14ac:dyDescent="0.25">
      <c r="X260" s="30"/>
    </row>
    <row r="261" spans="24:24" x14ac:dyDescent="0.25">
      <c r="X261" s="27"/>
    </row>
    <row r="262" spans="24:24" x14ac:dyDescent="0.25">
      <c r="X262" s="27"/>
    </row>
    <row r="263" spans="24:24" x14ac:dyDescent="0.25">
      <c r="X263" s="27"/>
    </row>
    <row r="264" spans="24:24" x14ac:dyDescent="0.25">
      <c r="X264" s="27"/>
    </row>
    <row r="265" spans="24:24" x14ac:dyDescent="0.25">
      <c r="X265" s="27"/>
    </row>
    <row r="266" spans="24:24" x14ac:dyDescent="0.25">
      <c r="X266" s="27"/>
    </row>
    <row r="267" spans="24:24" x14ac:dyDescent="0.25">
      <c r="X267" s="27"/>
    </row>
    <row r="268" spans="24:24" x14ac:dyDescent="0.25">
      <c r="X268" s="27"/>
    </row>
    <row r="269" spans="24:24" x14ac:dyDescent="0.25">
      <c r="X269" s="27"/>
    </row>
    <row r="270" spans="24:24" x14ac:dyDescent="0.25">
      <c r="X270" s="27"/>
    </row>
    <row r="271" spans="24:24" x14ac:dyDescent="0.25">
      <c r="X271" s="27"/>
    </row>
    <row r="272" spans="24:24" x14ac:dyDescent="0.25">
      <c r="X272" s="27"/>
    </row>
    <row r="273" spans="24:24" x14ac:dyDescent="0.25">
      <c r="X273" s="27"/>
    </row>
    <row r="274" spans="24:24" x14ac:dyDescent="0.25">
      <c r="X274" s="31"/>
    </row>
    <row r="275" spans="24:24" x14ac:dyDescent="0.25">
      <c r="X275" s="30"/>
    </row>
    <row r="276" spans="24:24" x14ac:dyDescent="0.25">
      <c r="X276" s="27"/>
    </row>
    <row r="277" spans="24:24" x14ac:dyDescent="0.25">
      <c r="X277" s="27"/>
    </row>
    <row r="278" spans="24:24" x14ac:dyDescent="0.25">
      <c r="X278" s="31"/>
    </row>
    <row r="279" spans="24:24" x14ac:dyDescent="0.25">
      <c r="X279" s="30"/>
    </row>
    <row r="280" spans="24:24" x14ac:dyDescent="0.25">
      <c r="X280" s="27"/>
    </row>
    <row r="281" spans="24:24" x14ac:dyDescent="0.25">
      <c r="X281" s="31"/>
    </row>
    <row r="282" spans="24:24" x14ac:dyDescent="0.25">
      <c r="X282" s="30"/>
    </row>
    <row r="283" spans="24:24" x14ac:dyDescent="0.25">
      <c r="X283" s="27"/>
    </row>
    <row r="284" spans="24:24" x14ac:dyDescent="0.25">
      <c r="X284" s="27"/>
    </row>
    <row r="285" spans="24:24" x14ac:dyDescent="0.25">
      <c r="X285" s="27"/>
    </row>
    <row r="286" spans="24:24" x14ac:dyDescent="0.25">
      <c r="X286" s="27"/>
    </row>
    <row r="287" spans="24:24" x14ac:dyDescent="0.25">
      <c r="X287" s="27"/>
    </row>
    <row r="288" spans="24:24" x14ac:dyDescent="0.25">
      <c r="X288" s="27"/>
    </row>
    <row r="289" spans="24:24" x14ac:dyDescent="0.25">
      <c r="X289" s="27"/>
    </row>
    <row r="290" spans="24:24" x14ac:dyDescent="0.25">
      <c r="X290" s="31"/>
    </row>
    <row r="291" spans="24:24" x14ac:dyDescent="0.25">
      <c r="X291" s="30"/>
    </row>
    <row r="292" spans="24:24" x14ac:dyDescent="0.25">
      <c r="X292" s="27"/>
    </row>
    <row r="293" spans="24:24" x14ac:dyDescent="0.25">
      <c r="X293" s="29"/>
    </row>
    <row r="294" spans="24:24" x14ac:dyDescent="0.25">
      <c r="X294" s="30"/>
    </row>
    <row r="295" spans="24:24" x14ac:dyDescent="0.25">
      <c r="X295" s="27"/>
    </row>
    <row r="296" spans="24:24" x14ac:dyDescent="0.25">
      <c r="X296" s="31"/>
    </row>
    <row r="297" spans="24:24" x14ac:dyDescent="0.25">
      <c r="X297" s="30"/>
    </row>
    <row r="298" spans="24:24" x14ac:dyDescent="0.25">
      <c r="X298" s="27"/>
    </row>
    <row r="299" spans="24:24" x14ac:dyDescent="0.25">
      <c r="X299" s="31"/>
    </row>
    <row r="300" spans="24:24" x14ac:dyDescent="0.25">
      <c r="X300" s="30"/>
    </row>
    <row r="301" spans="24:24" x14ac:dyDescent="0.25">
      <c r="X301" s="27"/>
    </row>
    <row r="302" spans="24:24" x14ac:dyDescent="0.25">
      <c r="X302" s="31"/>
    </row>
    <row r="303" spans="24:24" x14ac:dyDescent="0.25">
      <c r="X303" s="30"/>
    </row>
    <row r="304" spans="24:24" x14ac:dyDescent="0.25">
      <c r="X304" s="27"/>
    </row>
    <row r="305" spans="24:24" x14ac:dyDescent="0.25">
      <c r="X305" s="31"/>
    </row>
  </sheetData>
  <mergeCells count="28">
    <mergeCell ref="I36:I37"/>
    <mergeCell ref="K36:K37"/>
    <mergeCell ref="K33:K35"/>
    <mergeCell ref="K25:K26"/>
    <mergeCell ref="C22:C24"/>
    <mergeCell ref="E22:E24"/>
    <mergeCell ref="I22:I24"/>
    <mergeCell ref="G22:G24"/>
    <mergeCell ref="K22:K24"/>
    <mergeCell ref="D11:J12"/>
    <mergeCell ref="D9:J10"/>
    <mergeCell ref="C33:C35"/>
    <mergeCell ref="E33:E35"/>
    <mergeCell ref="G33:G35"/>
    <mergeCell ref="I33:I35"/>
    <mergeCell ref="C25:C26"/>
    <mergeCell ref="E25:E26"/>
    <mergeCell ref="G25:G26"/>
    <mergeCell ref="I25:I26"/>
    <mergeCell ref="C52:D53"/>
    <mergeCell ref="C36:C37"/>
    <mergeCell ref="C41:D43"/>
    <mergeCell ref="F41:G43"/>
    <mergeCell ref="C49:D51"/>
    <mergeCell ref="C44:D45"/>
    <mergeCell ref="F44:G45"/>
    <mergeCell ref="E36:E37"/>
    <mergeCell ref="G36:G37"/>
  </mergeCells>
  <conditionalFormatting sqref="V6:V20">
    <cfRule type="cellIs" dxfId="17" priority="4" operator="greaterThan">
      <formula>1</formula>
    </cfRule>
    <cfRule type="cellIs" dxfId="16" priority="5" operator="lessThan">
      <formula>0</formula>
    </cfRule>
  </conditionalFormatting>
  <conditionalFormatting sqref="S6:S20">
    <cfRule type="cellIs" dxfId="15" priority="2" operator="greaterThan">
      <formula>0.5</formula>
    </cfRule>
    <cfRule type="cellIs" dxfId="14" priority="3" operator="lessThan">
      <formula>0.5</formula>
    </cfRule>
  </conditionalFormatting>
  <conditionalFormatting sqref="X6:AD1048576">
    <cfRule type="expression" dxfId="13" priority="1">
      <formula>$X6&lt;&gt;""</formula>
    </cfRule>
  </conditionalFormatting>
  <dataValidations count="2">
    <dataValidation type="list" allowBlank="1" showInputMessage="1" showErrorMessage="1" sqref="C25 G36 K36 E36 E25 G25 K25 I36 I25 C36" xr:uid="{CA7337C0-DE66-43F9-A71F-E18090A3B237}">
      <formula1>WinLosePush</formula1>
    </dataValidation>
    <dataValidation type="list" allowBlank="1" showInputMessage="1" sqref="C12 D11" xr:uid="{0454B43A-4981-410D-BBFD-B2FDA844394A}">
      <formula1>RulesetNames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303CD-291D-4292-B6B0-2A20E01E8D9F}">
  <sheetPr codeName="ShBackend"/>
  <dimension ref="B6:AF1006"/>
  <sheetViews>
    <sheetView topLeftCell="J1" zoomScale="85" zoomScaleNormal="85" workbookViewId="0">
      <selection activeCell="S8" sqref="S8"/>
    </sheetView>
  </sheetViews>
  <sheetFormatPr defaultRowHeight="15" x14ac:dyDescent="0.25"/>
  <cols>
    <col min="2" max="2" width="21" bestFit="1" customWidth="1"/>
    <col min="12" max="12" width="9.85546875" customWidth="1"/>
    <col min="13" max="13" width="13.5703125" customWidth="1"/>
    <col min="14" max="14" width="14.28515625" bestFit="1" customWidth="1"/>
    <col min="18" max="18" width="24" bestFit="1" customWidth="1"/>
    <col min="19" max="19" width="17" bestFit="1" customWidth="1"/>
    <col min="20" max="20" width="17" customWidth="1"/>
    <col min="21" max="21" width="32.140625" bestFit="1" customWidth="1"/>
    <col min="22" max="24" width="12.7109375" bestFit="1" customWidth="1"/>
    <col min="25" max="26" width="13.7109375" bestFit="1" customWidth="1"/>
  </cols>
  <sheetData>
    <row r="6" spans="2:32" x14ac:dyDescent="0.25">
      <c r="B6" t="s">
        <v>0</v>
      </c>
      <c r="C6" s="1">
        <v>500</v>
      </c>
      <c r="K6" t="s">
        <v>3</v>
      </c>
      <c r="L6" t="s">
        <v>4</v>
      </c>
      <c r="M6" t="s">
        <v>5</v>
      </c>
      <c r="N6" t="s">
        <v>28</v>
      </c>
      <c r="U6" t="s">
        <v>9</v>
      </c>
      <c r="V6" t="s">
        <v>10</v>
      </c>
      <c r="W6" t="s">
        <v>11</v>
      </c>
      <c r="X6" t="s">
        <v>12</v>
      </c>
      <c r="Y6" t="s">
        <v>13</v>
      </c>
      <c r="Z6" t="s">
        <v>14</v>
      </c>
      <c r="AA6" t="s">
        <v>15</v>
      </c>
      <c r="AB6" t="s">
        <v>16</v>
      </c>
      <c r="AC6" t="s">
        <v>17</v>
      </c>
      <c r="AD6" t="s">
        <v>18</v>
      </c>
      <c r="AE6" t="s">
        <v>19</v>
      </c>
      <c r="AF6" t="s">
        <v>30</v>
      </c>
    </row>
    <row r="7" spans="2:32" x14ac:dyDescent="0.25">
      <c r="K7">
        <v>1</v>
      </c>
      <c r="L7" t="s">
        <v>53</v>
      </c>
      <c r="M7">
        <v>10</v>
      </c>
      <c r="N7" s="6"/>
      <c r="R7" t="s">
        <v>27</v>
      </c>
      <c r="S7" t="b">
        <f>IF(COUNTIF(Rulesets[Name],RulesetNameInputBox)&gt;0,TRUE,FALSE)</f>
        <v>1</v>
      </c>
      <c r="U7" t="s">
        <v>20</v>
      </c>
      <c r="V7" t="s">
        <v>7</v>
      </c>
      <c r="W7" t="s">
        <v>7</v>
      </c>
      <c r="X7" t="s">
        <v>6</v>
      </c>
      <c r="Y7" t="s">
        <v>6</v>
      </c>
      <c r="Z7" t="s">
        <v>7</v>
      </c>
      <c r="AA7" t="s">
        <v>8</v>
      </c>
      <c r="AB7" t="s">
        <v>8</v>
      </c>
      <c r="AC7" t="s">
        <v>7</v>
      </c>
      <c r="AD7" t="s">
        <v>8</v>
      </c>
      <c r="AE7" t="s">
        <v>8</v>
      </c>
      <c r="AF7">
        <v>1</v>
      </c>
    </row>
    <row r="8" spans="2:32" x14ac:dyDescent="0.25">
      <c r="K8">
        <v>2</v>
      </c>
      <c r="L8" t="s">
        <v>53</v>
      </c>
      <c r="M8">
        <v>4</v>
      </c>
      <c r="N8" s="6"/>
      <c r="R8" t="s">
        <v>36</v>
      </c>
      <c r="S8">
        <f>IF(RulesetIsInList=TRUE,MATCH(RulesetNameInputBox,Rulesets[Name],0),-1)</f>
        <v>1</v>
      </c>
    </row>
    <row r="9" spans="2:32" x14ac:dyDescent="0.25">
      <c r="B9" t="s">
        <v>1</v>
      </c>
      <c r="C9">
        <f>COUNTIF(SimulationResults[Winner],"House")</f>
        <v>414</v>
      </c>
      <c r="D9" s="2" t="e">
        <f>C9/Repititions</f>
        <v>#NAME?</v>
      </c>
      <c r="K9">
        <v>3</v>
      </c>
      <c r="L9" t="s">
        <v>53</v>
      </c>
      <c r="M9">
        <v>7</v>
      </c>
      <c r="N9" s="6"/>
    </row>
    <row r="10" spans="2:32" x14ac:dyDescent="0.25">
      <c r="B10" t="s">
        <v>2</v>
      </c>
      <c r="C10">
        <f>COUNTIF(SimulationResults[Winner],"Players")</f>
        <v>586</v>
      </c>
      <c r="D10" s="2" t="e">
        <f>C10/Repititions</f>
        <v>#NAME?</v>
      </c>
      <c r="K10">
        <v>4</v>
      </c>
      <c r="L10" t="s">
        <v>45</v>
      </c>
      <c r="M10">
        <v>8</v>
      </c>
      <c r="N10" s="6"/>
    </row>
    <row r="11" spans="2:32" x14ac:dyDescent="0.25">
      <c r="K11">
        <v>5</v>
      </c>
      <c r="L11" t="s">
        <v>45</v>
      </c>
      <c r="M11">
        <v>9</v>
      </c>
      <c r="N11" s="6"/>
    </row>
    <row r="12" spans="2:32" x14ac:dyDescent="0.25">
      <c r="K12">
        <v>6</v>
      </c>
      <c r="L12" t="s">
        <v>45</v>
      </c>
      <c r="M12">
        <v>3</v>
      </c>
      <c r="N12" s="6"/>
    </row>
    <row r="13" spans="2:32" x14ac:dyDescent="0.25">
      <c r="K13">
        <v>7</v>
      </c>
      <c r="L13" t="s">
        <v>53</v>
      </c>
      <c r="M13">
        <v>9</v>
      </c>
      <c r="N13" s="6"/>
    </row>
    <row r="14" spans="2:32" x14ac:dyDescent="0.25">
      <c r="K14">
        <v>8</v>
      </c>
      <c r="L14" t="s">
        <v>53</v>
      </c>
      <c r="M14">
        <v>6</v>
      </c>
      <c r="N14" s="6"/>
      <c r="R14" t="s">
        <v>34</v>
      </c>
      <c r="S14">
        <f>COUNTIF(SimulationHistory[Ruleset],"&lt;&gt;"&amp;"")</f>
        <v>0</v>
      </c>
    </row>
    <row r="15" spans="2:32" x14ac:dyDescent="0.25">
      <c r="K15">
        <v>9</v>
      </c>
      <c r="L15" t="s">
        <v>53</v>
      </c>
      <c r="M15">
        <v>8</v>
      </c>
      <c r="N15" s="6"/>
    </row>
    <row r="16" spans="2:32" x14ac:dyDescent="0.25">
      <c r="K16">
        <v>10</v>
      </c>
      <c r="L16" t="s">
        <v>45</v>
      </c>
      <c r="M16">
        <v>4</v>
      </c>
      <c r="N16" s="6"/>
    </row>
    <row r="17" spans="11:18" x14ac:dyDescent="0.25">
      <c r="K17">
        <v>11</v>
      </c>
      <c r="L17" t="s">
        <v>45</v>
      </c>
      <c r="M17">
        <v>11</v>
      </c>
      <c r="N17" s="6"/>
    </row>
    <row r="18" spans="11:18" x14ac:dyDescent="0.25">
      <c r="K18">
        <v>12</v>
      </c>
      <c r="L18" t="s">
        <v>45</v>
      </c>
      <c r="M18">
        <v>8</v>
      </c>
      <c r="N18" s="6"/>
    </row>
    <row r="19" spans="11:18" x14ac:dyDescent="0.25">
      <c r="K19">
        <v>13</v>
      </c>
      <c r="L19" t="s">
        <v>53</v>
      </c>
      <c r="M19">
        <v>7</v>
      </c>
      <c r="N19" s="6"/>
    </row>
    <row r="20" spans="11:18" x14ac:dyDescent="0.25">
      <c r="K20">
        <v>14</v>
      </c>
      <c r="L20" t="s">
        <v>53</v>
      </c>
      <c r="M20">
        <v>5</v>
      </c>
      <c r="N20" s="6"/>
    </row>
    <row r="21" spans="11:18" x14ac:dyDescent="0.25">
      <c r="K21">
        <v>15</v>
      </c>
      <c r="L21" t="s">
        <v>53</v>
      </c>
      <c r="M21">
        <v>9</v>
      </c>
      <c r="N21" s="6"/>
    </row>
    <row r="22" spans="11:18" x14ac:dyDescent="0.25">
      <c r="K22">
        <v>16</v>
      </c>
      <c r="L22" t="s">
        <v>53</v>
      </c>
      <c r="M22">
        <v>10</v>
      </c>
      <c r="N22" s="6"/>
    </row>
    <row r="23" spans="11:18" x14ac:dyDescent="0.25">
      <c r="K23">
        <v>17</v>
      </c>
      <c r="L23" t="s">
        <v>45</v>
      </c>
      <c r="M23">
        <v>8</v>
      </c>
      <c r="N23" s="6"/>
      <c r="R23" t="s">
        <v>6</v>
      </c>
    </row>
    <row r="24" spans="11:18" x14ac:dyDescent="0.25">
      <c r="K24">
        <v>18</v>
      </c>
      <c r="L24" t="s">
        <v>53</v>
      </c>
      <c r="M24">
        <v>4</v>
      </c>
      <c r="N24" s="6"/>
      <c r="R24" t="s">
        <v>7</v>
      </c>
    </row>
    <row r="25" spans="11:18" x14ac:dyDescent="0.25">
      <c r="K25">
        <v>19</v>
      </c>
      <c r="L25" t="s">
        <v>53</v>
      </c>
      <c r="M25">
        <v>7</v>
      </c>
      <c r="N25" s="6"/>
      <c r="R25" t="s">
        <v>8</v>
      </c>
    </row>
    <row r="26" spans="11:18" x14ac:dyDescent="0.25">
      <c r="K26">
        <v>20</v>
      </c>
      <c r="L26" t="s">
        <v>45</v>
      </c>
      <c r="M26">
        <v>8</v>
      </c>
      <c r="N26" s="6"/>
    </row>
    <row r="27" spans="11:18" x14ac:dyDescent="0.25">
      <c r="K27">
        <v>21</v>
      </c>
      <c r="L27" t="s">
        <v>53</v>
      </c>
      <c r="M27">
        <v>8</v>
      </c>
      <c r="N27" s="6"/>
    </row>
    <row r="28" spans="11:18" x14ac:dyDescent="0.25">
      <c r="K28">
        <v>22</v>
      </c>
      <c r="L28" t="s">
        <v>53</v>
      </c>
      <c r="M28">
        <v>7</v>
      </c>
      <c r="N28" s="6"/>
    </row>
    <row r="29" spans="11:18" x14ac:dyDescent="0.25">
      <c r="K29">
        <v>23</v>
      </c>
      <c r="L29" t="s">
        <v>45</v>
      </c>
      <c r="M29">
        <v>3</v>
      </c>
      <c r="N29" s="6"/>
    </row>
    <row r="30" spans="11:18" x14ac:dyDescent="0.25">
      <c r="K30">
        <v>24</v>
      </c>
      <c r="L30" t="s">
        <v>45</v>
      </c>
      <c r="M30">
        <v>11</v>
      </c>
      <c r="N30" s="6"/>
    </row>
    <row r="31" spans="11:18" x14ac:dyDescent="0.25">
      <c r="K31">
        <v>25</v>
      </c>
      <c r="L31" t="s">
        <v>45</v>
      </c>
      <c r="M31">
        <v>3</v>
      </c>
      <c r="N31" s="6"/>
    </row>
    <row r="32" spans="11:18" x14ac:dyDescent="0.25">
      <c r="K32">
        <v>26</v>
      </c>
      <c r="L32" t="s">
        <v>45</v>
      </c>
      <c r="M32">
        <v>11</v>
      </c>
      <c r="N32" s="6"/>
    </row>
    <row r="33" spans="11:14" x14ac:dyDescent="0.25">
      <c r="K33">
        <v>27</v>
      </c>
      <c r="L33" t="s">
        <v>53</v>
      </c>
      <c r="M33">
        <v>7</v>
      </c>
      <c r="N33" s="6"/>
    </row>
    <row r="34" spans="11:14" x14ac:dyDescent="0.25">
      <c r="K34">
        <v>28</v>
      </c>
      <c r="L34" t="s">
        <v>53</v>
      </c>
      <c r="M34">
        <v>9</v>
      </c>
      <c r="N34" s="6"/>
    </row>
    <row r="35" spans="11:14" x14ac:dyDescent="0.25">
      <c r="K35">
        <v>29</v>
      </c>
      <c r="L35" t="s">
        <v>45</v>
      </c>
      <c r="M35">
        <v>2</v>
      </c>
      <c r="N35" s="6"/>
    </row>
    <row r="36" spans="11:14" x14ac:dyDescent="0.25">
      <c r="K36">
        <v>30</v>
      </c>
      <c r="L36" t="s">
        <v>45</v>
      </c>
      <c r="M36">
        <v>3</v>
      </c>
      <c r="N36" s="6"/>
    </row>
    <row r="37" spans="11:14" x14ac:dyDescent="0.25">
      <c r="K37">
        <v>31</v>
      </c>
      <c r="L37" t="s">
        <v>45</v>
      </c>
      <c r="M37">
        <v>12</v>
      </c>
      <c r="N37" s="6"/>
    </row>
    <row r="38" spans="11:14" x14ac:dyDescent="0.25">
      <c r="K38">
        <v>32</v>
      </c>
      <c r="L38" t="s">
        <v>45</v>
      </c>
      <c r="M38">
        <v>4</v>
      </c>
      <c r="N38" s="6"/>
    </row>
    <row r="39" spans="11:14" x14ac:dyDescent="0.25">
      <c r="K39">
        <v>33</v>
      </c>
      <c r="L39" t="s">
        <v>45</v>
      </c>
      <c r="M39">
        <v>5</v>
      </c>
      <c r="N39" s="6"/>
    </row>
    <row r="40" spans="11:14" x14ac:dyDescent="0.25">
      <c r="K40">
        <v>34</v>
      </c>
      <c r="L40" t="s">
        <v>45</v>
      </c>
      <c r="M40">
        <v>12</v>
      </c>
      <c r="N40" s="6"/>
    </row>
    <row r="41" spans="11:14" x14ac:dyDescent="0.25">
      <c r="K41">
        <v>35</v>
      </c>
      <c r="L41" t="s">
        <v>45</v>
      </c>
      <c r="M41">
        <v>8</v>
      </c>
      <c r="N41" s="6"/>
    </row>
    <row r="42" spans="11:14" x14ac:dyDescent="0.25">
      <c r="K42">
        <v>36</v>
      </c>
      <c r="L42" t="s">
        <v>45</v>
      </c>
      <c r="M42">
        <v>3</v>
      </c>
      <c r="N42" s="6"/>
    </row>
    <row r="43" spans="11:14" x14ac:dyDescent="0.25">
      <c r="K43">
        <v>37</v>
      </c>
      <c r="L43" t="s">
        <v>45</v>
      </c>
      <c r="M43">
        <v>3</v>
      </c>
      <c r="N43" s="6"/>
    </row>
    <row r="44" spans="11:14" x14ac:dyDescent="0.25">
      <c r="K44">
        <v>38</v>
      </c>
      <c r="L44" t="s">
        <v>53</v>
      </c>
      <c r="M44">
        <v>7</v>
      </c>
      <c r="N44" s="6"/>
    </row>
    <row r="45" spans="11:14" x14ac:dyDescent="0.25">
      <c r="K45">
        <v>39</v>
      </c>
      <c r="L45" t="s">
        <v>53</v>
      </c>
      <c r="M45">
        <v>6</v>
      </c>
      <c r="N45" s="6"/>
    </row>
    <row r="46" spans="11:14" x14ac:dyDescent="0.25">
      <c r="K46">
        <v>40</v>
      </c>
      <c r="L46" t="s">
        <v>45</v>
      </c>
      <c r="M46">
        <v>8</v>
      </c>
      <c r="N46" s="6"/>
    </row>
    <row r="47" spans="11:14" x14ac:dyDescent="0.25">
      <c r="K47">
        <v>41</v>
      </c>
      <c r="L47" t="s">
        <v>45</v>
      </c>
      <c r="M47">
        <v>9</v>
      </c>
      <c r="N47" s="6"/>
    </row>
    <row r="48" spans="11:14" x14ac:dyDescent="0.25">
      <c r="K48">
        <v>42</v>
      </c>
      <c r="L48" t="s">
        <v>53</v>
      </c>
      <c r="M48">
        <v>7</v>
      </c>
      <c r="N48" s="6"/>
    </row>
    <row r="49" spans="11:14" x14ac:dyDescent="0.25">
      <c r="K49">
        <v>43</v>
      </c>
      <c r="L49" t="s">
        <v>53</v>
      </c>
      <c r="M49">
        <v>5</v>
      </c>
      <c r="N49" s="6"/>
    </row>
    <row r="50" spans="11:14" x14ac:dyDescent="0.25">
      <c r="K50">
        <v>44</v>
      </c>
      <c r="L50" t="s">
        <v>45</v>
      </c>
      <c r="M50">
        <v>2</v>
      </c>
      <c r="N50" s="6"/>
    </row>
    <row r="51" spans="11:14" x14ac:dyDescent="0.25">
      <c r="K51">
        <v>45</v>
      </c>
      <c r="L51" t="s">
        <v>45</v>
      </c>
      <c r="M51">
        <v>2</v>
      </c>
      <c r="N51" s="6"/>
    </row>
    <row r="52" spans="11:14" x14ac:dyDescent="0.25">
      <c r="K52">
        <v>46</v>
      </c>
      <c r="L52" t="s">
        <v>53</v>
      </c>
      <c r="M52">
        <v>10</v>
      </c>
      <c r="N52" s="6"/>
    </row>
    <row r="53" spans="11:14" x14ac:dyDescent="0.25">
      <c r="K53">
        <v>47</v>
      </c>
      <c r="L53" t="s">
        <v>45</v>
      </c>
      <c r="M53">
        <v>10</v>
      </c>
      <c r="N53" s="6"/>
    </row>
    <row r="54" spans="11:14" x14ac:dyDescent="0.25">
      <c r="K54">
        <v>48</v>
      </c>
      <c r="L54" t="s">
        <v>53</v>
      </c>
      <c r="M54">
        <v>5</v>
      </c>
      <c r="N54" s="6"/>
    </row>
    <row r="55" spans="11:14" x14ac:dyDescent="0.25">
      <c r="K55">
        <v>49</v>
      </c>
      <c r="L55" t="s">
        <v>45</v>
      </c>
      <c r="M55">
        <v>4</v>
      </c>
      <c r="N55" s="6"/>
    </row>
    <row r="56" spans="11:14" x14ac:dyDescent="0.25">
      <c r="K56">
        <v>50</v>
      </c>
      <c r="L56" t="s">
        <v>45</v>
      </c>
      <c r="M56">
        <v>10</v>
      </c>
      <c r="N56" s="6"/>
    </row>
    <row r="57" spans="11:14" x14ac:dyDescent="0.25">
      <c r="K57">
        <v>51</v>
      </c>
      <c r="L57" t="s">
        <v>45</v>
      </c>
      <c r="M57">
        <v>4</v>
      </c>
      <c r="N57" s="6"/>
    </row>
    <row r="58" spans="11:14" x14ac:dyDescent="0.25">
      <c r="K58">
        <v>52</v>
      </c>
      <c r="L58" t="s">
        <v>53</v>
      </c>
      <c r="M58">
        <v>10</v>
      </c>
      <c r="N58" s="6"/>
    </row>
    <row r="59" spans="11:14" x14ac:dyDescent="0.25">
      <c r="K59">
        <v>53</v>
      </c>
      <c r="L59" t="s">
        <v>53</v>
      </c>
      <c r="M59">
        <v>5</v>
      </c>
      <c r="N59" s="6"/>
    </row>
    <row r="60" spans="11:14" x14ac:dyDescent="0.25">
      <c r="K60">
        <v>54</v>
      </c>
      <c r="L60" t="s">
        <v>53</v>
      </c>
      <c r="M60">
        <v>7</v>
      </c>
      <c r="N60" s="6"/>
    </row>
    <row r="61" spans="11:14" x14ac:dyDescent="0.25">
      <c r="K61">
        <v>55</v>
      </c>
      <c r="L61" t="s">
        <v>53</v>
      </c>
      <c r="M61">
        <v>5</v>
      </c>
      <c r="N61" s="6"/>
    </row>
    <row r="62" spans="11:14" x14ac:dyDescent="0.25">
      <c r="K62">
        <v>56</v>
      </c>
      <c r="L62" t="s">
        <v>53</v>
      </c>
      <c r="M62">
        <v>9</v>
      </c>
      <c r="N62" s="6"/>
    </row>
    <row r="63" spans="11:14" x14ac:dyDescent="0.25">
      <c r="K63">
        <v>57</v>
      </c>
      <c r="L63" t="s">
        <v>53</v>
      </c>
      <c r="M63">
        <v>8</v>
      </c>
      <c r="N63" s="6"/>
    </row>
    <row r="64" spans="11:14" x14ac:dyDescent="0.25">
      <c r="K64">
        <v>58</v>
      </c>
      <c r="L64" t="s">
        <v>53</v>
      </c>
      <c r="M64">
        <v>6</v>
      </c>
      <c r="N64" s="6"/>
    </row>
    <row r="65" spans="11:14" x14ac:dyDescent="0.25">
      <c r="K65">
        <v>59</v>
      </c>
      <c r="L65" t="s">
        <v>53</v>
      </c>
      <c r="M65">
        <v>8</v>
      </c>
      <c r="N65" s="6"/>
    </row>
    <row r="66" spans="11:14" x14ac:dyDescent="0.25">
      <c r="K66">
        <v>60</v>
      </c>
      <c r="L66" t="s">
        <v>45</v>
      </c>
      <c r="M66">
        <v>8</v>
      </c>
      <c r="N66" s="6"/>
    </row>
    <row r="67" spans="11:14" x14ac:dyDescent="0.25">
      <c r="K67">
        <v>61</v>
      </c>
      <c r="L67" t="s">
        <v>53</v>
      </c>
      <c r="M67">
        <v>7</v>
      </c>
      <c r="N67" s="6"/>
    </row>
    <row r="68" spans="11:14" x14ac:dyDescent="0.25">
      <c r="K68">
        <v>62</v>
      </c>
      <c r="L68" t="s">
        <v>53</v>
      </c>
      <c r="M68">
        <v>6</v>
      </c>
      <c r="N68" s="6"/>
    </row>
    <row r="69" spans="11:14" x14ac:dyDescent="0.25">
      <c r="K69">
        <v>63</v>
      </c>
      <c r="L69" t="s">
        <v>53</v>
      </c>
      <c r="M69">
        <v>8</v>
      </c>
      <c r="N69" s="6"/>
    </row>
    <row r="70" spans="11:14" x14ac:dyDescent="0.25">
      <c r="K70">
        <v>64</v>
      </c>
      <c r="L70" t="s">
        <v>53</v>
      </c>
      <c r="M70">
        <v>7</v>
      </c>
      <c r="N70" s="6"/>
    </row>
    <row r="71" spans="11:14" x14ac:dyDescent="0.25">
      <c r="K71">
        <v>65</v>
      </c>
      <c r="L71" t="s">
        <v>53</v>
      </c>
      <c r="M71">
        <v>7</v>
      </c>
      <c r="N71" s="6"/>
    </row>
    <row r="72" spans="11:14" x14ac:dyDescent="0.25">
      <c r="K72">
        <v>66</v>
      </c>
      <c r="L72" t="s">
        <v>53</v>
      </c>
      <c r="M72">
        <v>7</v>
      </c>
      <c r="N72" s="6"/>
    </row>
    <row r="73" spans="11:14" x14ac:dyDescent="0.25">
      <c r="K73">
        <v>67</v>
      </c>
      <c r="L73" t="s">
        <v>53</v>
      </c>
      <c r="M73">
        <v>6</v>
      </c>
      <c r="N73" s="6"/>
    </row>
    <row r="74" spans="11:14" x14ac:dyDescent="0.25">
      <c r="K74">
        <v>68</v>
      </c>
      <c r="L74" t="s">
        <v>53</v>
      </c>
      <c r="M74">
        <v>7</v>
      </c>
      <c r="N74" s="6"/>
    </row>
    <row r="75" spans="11:14" x14ac:dyDescent="0.25">
      <c r="K75">
        <v>69</v>
      </c>
      <c r="L75" t="s">
        <v>53</v>
      </c>
      <c r="M75">
        <v>7</v>
      </c>
      <c r="N75" s="6"/>
    </row>
    <row r="76" spans="11:14" x14ac:dyDescent="0.25">
      <c r="K76">
        <v>70</v>
      </c>
      <c r="L76" t="s">
        <v>45</v>
      </c>
      <c r="M76">
        <v>2</v>
      </c>
      <c r="N76" s="6"/>
    </row>
    <row r="77" spans="11:14" x14ac:dyDescent="0.25">
      <c r="K77">
        <v>71</v>
      </c>
      <c r="L77" t="s">
        <v>45</v>
      </c>
      <c r="M77">
        <v>9</v>
      </c>
      <c r="N77" s="6"/>
    </row>
    <row r="78" spans="11:14" x14ac:dyDescent="0.25">
      <c r="K78">
        <v>72</v>
      </c>
      <c r="L78" t="s">
        <v>45</v>
      </c>
      <c r="M78">
        <v>2</v>
      </c>
      <c r="N78" s="6"/>
    </row>
    <row r="79" spans="11:14" x14ac:dyDescent="0.25">
      <c r="K79">
        <v>73</v>
      </c>
      <c r="L79" t="s">
        <v>53</v>
      </c>
      <c r="M79">
        <v>8</v>
      </c>
      <c r="N79" s="6"/>
    </row>
    <row r="80" spans="11:14" x14ac:dyDescent="0.25">
      <c r="K80">
        <v>74</v>
      </c>
      <c r="L80" t="s">
        <v>53</v>
      </c>
      <c r="M80">
        <v>9</v>
      </c>
      <c r="N80" s="6"/>
    </row>
    <row r="81" spans="11:14" x14ac:dyDescent="0.25">
      <c r="K81">
        <v>75</v>
      </c>
      <c r="L81" t="s">
        <v>53</v>
      </c>
      <c r="M81">
        <v>4</v>
      </c>
      <c r="N81" s="6"/>
    </row>
    <row r="82" spans="11:14" x14ac:dyDescent="0.25">
      <c r="K82">
        <v>76</v>
      </c>
      <c r="L82" t="s">
        <v>45</v>
      </c>
      <c r="M82">
        <v>8</v>
      </c>
      <c r="N82" s="6"/>
    </row>
    <row r="83" spans="11:14" x14ac:dyDescent="0.25">
      <c r="K83">
        <v>77</v>
      </c>
      <c r="L83" t="s">
        <v>53</v>
      </c>
      <c r="M83">
        <v>10</v>
      </c>
      <c r="N83" s="6"/>
    </row>
    <row r="84" spans="11:14" x14ac:dyDescent="0.25">
      <c r="K84">
        <v>78</v>
      </c>
      <c r="L84" t="s">
        <v>53</v>
      </c>
      <c r="M84">
        <v>6</v>
      </c>
      <c r="N84" s="6"/>
    </row>
    <row r="85" spans="11:14" x14ac:dyDescent="0.25">
      <c r="K85">
        <v>79</v>
      </c>
      <c r="L85" t="s">
        <v>53</v>
      </c>
      <c r="M85">
        <v>8</v>
      </c>
      <c r="N85" s="6"/>
    </row>
    <row r="86" spans="11:14" x14ac:dyDescent="0.25">
      <c r="K86">
        <v>80</v>
      </c>
      <c r="L86" t="s">
        <v>45</v>
      </c>
      <c r="M86">
        <v>6</v>
      </c>
      <c r="N86" s="6"/>
    </row>
    <row r="87" spans="11:14" x14ac:dyDescent="0.25">
      <c r="K87">
        <v>81</v>
      </c>
      <c r="L87" t="s">
        <v>45</v>
      </c>
      <c r="M87">
        <v>11</v>
      </c>
      <c r="N87" s="6"/>
    </row>
    <row r="88" spans="11:14" x14ac:dyDescent="0.25">
      <c r="K88">
        <v>82</v>
      </c>
      <c r="L88" t="s">
        <v>53</v>
      </c>
      <c r="M88">
        <v>9</v>
      </c>
      <c r="N88" s="6"/>
    </row>
    <row r="89" spans="11:14" x14ac:dyDescent="0.25">
      <c r="K89">
        <v>83</v>
      </c>
      <c r="L89" t="s">
        <v>53</v>
      </c>
      <c r="M89">
        <v>5</v>
      </c>
      <c r="N89" s="6"/>
    </row>
    <row r="90" spans="11:14" x14ac:dyDescent="0.25">
      <c r="K90">
        <v>84</v>
      </c>
      <c r="L90" t="s">
        <v>45</v>
      </c>
      <c r="M90">
        <v>3</v>
      </c>
      <c r="N90" s="6"/>
    </row>
    <row r="91" spans="11:14" x14ac:dyDescent="0.25">
      <c r="K91">
        <v>85</v>
      </c>
      <c r="L91" t="s">
        <v>45</v>
      </c>
      <c r="M91">
        <v>5</v>
      </c>
      <c r="N91" s="6"/>
    </row>
    <row r="92" spans="11:14" x14ac:dyDescent="0.25">
      <c r="K92">
        <v>86</v>
      </c>
      <c r="L92" t="s">
        <v>45</v>
      </c>
      <c r="M92">
        <v>4</v>
      </c>
      <c r="N92" s="6"/>
    </row>
    <row r="93" spans="11:14" x14ac:dyDescent="0.25">
      <c r="K93">
        <v>87</v>
      </c>
      <c r="L93" t="s">
        <v>53</v>
      </c>
      <c r="M93">
        <v>7</v>
      </c>
      <c r="N93" s="6"/>
    </row>
    <row r="94" spans="11:14" x14ac:dyDescent="0.25">
      <c r="K94">
        <v>88</v>
      </c>
      <c r="L94" t="s">
        <v>45</v>
      </c>
      <c r="M94">
        <v>8</v>
      </c>
      <c r="N94" s="6"/>
    </row>
    <row r="95" spans="11:14" x14ac:dyDescent="0.25">
      <c r="K95">
        <v>89</v>
      </c>
      <c r="L95" t="s">
        <v>53</v>
      </c>
      <c r="M95">
        <v>5</v>
      </c>
      <c r="N95" s="6"/>
    </row>
    <row r="96" spans="11:14" x14ac:dyDescent="0.25">
      <c r="K96">
        <v>90</v>
      </c>
      <c r="L96" t="s">
        <v>53</v>
      </c>
      <c r="M96">
        <v>7</v>
      </c>
      <c r="N96" s="6"/>
    </row>
    <row r="97" spans="11:14" x14ac:dyDescent="0.25">
      <c r="K97">
        <v>91</v>
      </c>
      <c r="L97" t="s">
        <v>45</v>
      </c>
      <c r="M97">
        <v>11</v>
      </c>
      <c r="N97" s="6"/>
    </row>
    <row r="98" spans="11:14" x14ac:dyDescent="0.25">
      <c r="K98">
        <v>92</v>
      </c>
      <c r="L98" t="s">
        <v>53</v>
      </c>
      <c r="M98">
        <v>7</v>
      </c>
      <c r="N98" s="6"/>
    </row>
    <row r="99" spans="11:14" x14ac:dyDescent="0.25">
      <c r="K99">
        <v>93</v>
      </c>
      <c r="L99" t="s">
        <v>53</v>
      </c>
      <c r="M99">
        <v>7</v>
      </c>
      <c r="N99" s="6"/>
    </row>
    <row r="100" spans="11:14" x14ac:dyDescent="0.25">
      <c r="K100">
        <v>94</v>
      </c>
      <c r="L100" t="s">
        <v>53</v>
      </c>
      <c r="M100">
        <v>6</v>
      </c>
      <c r="N100" s="6"/>
    </row>
    <row r="101" spans="11:14" x14ac:dyDescent="0.25">
      <c r="K101">
        <v>95</v>
      </c>
      <c r="L101" t="s">
        <v>53</v>
      </c>
      <c r="M101">
        <v>6</v>
      </c>
      <c r="N101" s="6"/>
    </row>
    <row r="102" spans="11:14" x14ac:dyDescent="0.25">
      <c r="K102">
        <v>96</v>
      </c>
      <c r="L102" t="s">
        <v>53</v>
      </c>
      <c r="M102">
        <v>10</v>
      </c>
      <c r="N102" s="6"/>
    </row>
    <row r="103" spans="11:14" x14ac:dyDescent="0.25">
      <c r="K103">
        <v>97</v>
      </c>
      <c r="L103" t="s">
        <v>53</v>
      </c>
      <c r="M103">
        <v>6</v>
      </c>
      <c r="N103" s="6"/>
    </row>
    <row r="104" spans="11:14" x14ac:dyDescent="0.25">
      <c r="K104">
        <v>98</v>
      </c>
      <c r="L104" t="s">
        <v>53</v>
      </c>
      <c r="M104">
        <v>9</v>
      </c>
      <c r="N104" s="6"/>
    </row>
    <row r="105" spans="11:14" x14ac:dyDescent="0.25">
      <c r="K105">
        <v>99</v>
      </c>
      <c r="L105" t="s">
        <v>53</v>
      </c>
      <c r="M105">
        <v>8</v>
      </c>
      <c r="N105" s="6"/>
    </row>
    <row r="106" spans="11:14" x14ac:dyDescent="0.25">
      <c r="K106">
        <v>100</v>
      </c>
      <c r="L106" t="s">
        <v>53</v>
      </c>
      <c r="M106">
        <v>7</v>
      </c>
      <c r="N106" s="6"/>
    </row>
    <row r="107" spans="11:14" x14ac:dyDescent="0.25">
      <c r="K107">
        <v>101</v>
      </c>
      <c r="L107" t="s">
        <v>53</v>
      </c>
      <c r="M107">
        <v>10</v>
      </c>
      <c r="N107" s="6"/>
    </row>
    <row r="108" spans="11:14" x14ac:dyDescent="0.25">
      <c r="K108">
        <v>102</v>
      </c>
      <c r="L108" t="s">
        <v>53</v>
      </c>
      <c r="M108">
        <v>5</v>
      </c>
      <c r="N108" s="6"/>
    </row>
    <row r="109" spans="11:14" x14ac:dyDescent="0.25">
      <c r="K109">
        <v>103</v>
      </c>
      <c r="L109" t="s">
        <v>53</v>
      </c>
      <c r="M109">
        <v>8</v>
      </c>
      <c r="N109" s="6"/>
    </row>
    <row r="110" spans="11:14" x14ac:dyDescent="0.25">
      <c r="K110">
        <v>104</v>
      </c>
      <c r="L110" t="s">
        <v>53</v>
      </c>
      <c r="M110">
        <v>6</v>
      </c>
      <c r="N110" s="6"/>
    </row>
    <row r="111" spans="11:14" x14ac:dyDescent="0.25">
      <c r="K111">
        <v>105</v>
      </c>
      <c r="L111" t="s">
        <v>53</v>
      </c>
      <c r="M111">
        <v>8</v>
      </c>
      <c r="N111" s="6"/>
    </row>
    <row r="112" spans="11:14" x14ac:dyDescent="0.25">
      <c r="K112">
        <v>106</v>
      </c>
      <c r="L112" t="s">
        <v>53</v>
      </c>
      <c r="M112">
        <v>5</v>
      </c>
      <c r="N112" s="6"/>
    </row>
    <row r="113" spans="11:14" x14ac:dyDescent="0.25">
      <c r="K113">
        <v>107</v>
      </c>
      <c r="L113" t="s">
        <v>53</v>
      </c>
      <c r="M113">
        <v>10</v>
      </c>
      <c r="N113" s="6"/>
    </row>
    <row r="114" spans="11:14" x14ac:dyDescent="0.25">
      <c r="K114">
        <v>108</v>
      </c>
      <c r="L114" t="s">
        <v>53</v>
      </c>
      <c r="M114">
        <v>9</v>
      </c>
      <c r="N114" s="6"/>
    </row>
    <row r="115" spans="11:14" x14ac:dyDescent="0.25">
      <c r="K115">
        <v>109</v>
      </c>
      <c r="L115" t="s">
        <v>45</v>
      </c>
      <c r="M115">
        <v>11</v>
      </c>
      <c r="N115" s="6"/>
    </row>
    <row r="116" spans="11:14" x14ac:dyDescent="0.25">
      <c r="K116">
        <v>110</v>
      </c>
      <c r="L116" t="s">
        <v>53</v>
      </c>
      <c r="M116">
        <v>8</v>
      </c>
      <c r="N116" s="6"/>
    </row>
    <row r="117" spans="11:14" x14ac:dyDescent="0.25">
      <c r="K117">
        <v>111</v>
      </c>
      <c r="L117" t="s">
        <v>45</v>
      </c>
      <c r="M117">
        <v>3</v>
      </c>
      <c r="N117" s="6"/>
    </row>
    <row r="118" spans="11:14" x14ac:dyDescent="0.25">
      <c r="K118">
        <v>112</v>
      </c>
      <c r="L118" t="s">
        <v>53</v>
      </c>
      <c r="M118">
        <v>7</v>
      </c>
      <c r="N118" s="6"/>
    </row>
    <row r="119" spans="11:14" x14ac:dyDescent="0.25">
      <c r="K119">
        <v>113</v>
      </c>
      <c r="L119" t="s">
        <v>45</v>
      </c>
      <c r="M119">
        <v>6</v>
      </c>
      <c r="N119" s="6"/>
    </row>
    <row r="120" spans="11:14" x14ac:dyDescent="0.25">
      <c r="K120">
        <v>114</v>
      </c>
      <c r="L120" t="s">
        <v>53</v>
      </c>
      <c r="M120">
        <v>6</v>
      </c>
      <c r="N120" s="6"/>
    </row>
    <row r="121" spans="11:14" x14ac:dyDescent="0.25">
      <c r="K121">
        <v>115</v>
      </c>
      <c r="L121" t="s">
        <v>53</v>
      </c>
      <c r="M121">
        <v>4</v>
      </c>
      <c r="N121" s="6"/>
    </row>
    <row r="122" spans="11:14" x14ac:dyDescent="0.25">
      <c r="K122">
        <v>116</v>
      </c>
      <c r="L122" t="s">
        <v>53</v>
      </c>
      <c r="M122">
        <v>9</v>
      </c>
      <c r="N122" s="6"/>
    </row>
    <row r="123" spans="11:14" x14ac:dyDescent="0.25">
      <c r="K123">
        <v>117</v>
      </c>
      <c r="L123" t="s">
        <v>45</v>
      </c>
      <c r="M123">
        <v>11</v>
      </c>
      <c r="N123" s="6"/>
    </row>
    <row r="124" spans="11:14" x14ac:dyDescent="0.25">
      <c r="K124">
        <v>118</v>
      </c>
      <c r="L124" t="s">
        <v>53</v>
      </c>
      <c r="M124">
        <v>6</v>
      </c>
      <c r="N124" s="6"/>
    </row>
    <row r="125" spans="11:14" x14ac:dyDescent="0.25">
      <c r="K125">
        <v>119</v>
      </c>
      <c r="L125" t="s">
        <v>53</v>
      </c>
      <c r="M125">
        <v>5</v>
      </c>
      <c r="N125" s="6"/>
    </row>
    <row r="126" spans="11:14" x14ac:dyDescent="0.25">
      <c r="K126">
        <v>120</v>
      </c>
      <c r="L126" t="s">
        <v>53</v>
      </c>
      <c r="M126">
        <v>9</v>
      </c>
      <c r="N126" s="6"/>
    </row>
    <row r="127" spans="11:14" x14ac:dyDescent="0.25">
      <c r="K127">
        <v>121</v>
      </c>
      <c r="L127" t="s">
        <v>45</v>
      </c>
      <c r="M127">
        <v>5</v>
      </c>
      <c r="N127" s="6"/>
    </row>
    <row r="128" spans="11:14" x14ac:dyDescent="0.25">
      <c r="K128">
        <v>122</v>
      </c>
      <c r="L128" t="s">
        <v>53</v>
      </c>
      <c r="M128">
        <v>7</v>
      </c>
      <c r="N128" s="6"/>
    </row>
    <row r="129" spans="11:14" x14ac:dyDescent="0.25">
      <c r="K129">
        <v>123</v>
      </c>
      <c r="L129" t="s">
        <v>45</v>
      </c>
      <c r="M129">
        <v>5</v>
      </c>
      <c r="N129" s="6"/>
    </row>
    <row r="130" spans="11:14" x14ac:dyDescent="0.25">
      <c r="K130">
        <v>124</v>
      </c>
      <c r="L130" t="s">
        <v>53</v>
      </c>
      <c r="M130">
        <v>7</v>
      </c>
      <c r="N130" s="6"/>
    </row>
    <row r="131" spans="11:14" x14ac:dyDescent="0.25">
      <c r="K131">
        <v>125</v>
      </c>
      <c r="L131" t="s">
        <v>45</v>
      </c>
      <c r="M131">
        <v>9</v>
      </c>
      <c r="N131" s="6"/>
    </row>
    <row r="132" spans="11:14" x14ac:dyDescent="0.25">
      <c r="K132">
        <v>126</v>
      </c>
      <c r="L132" t="s">
        <v>53</v>
      </c>
      <c r="M132">
        <v>8</v>
      </c>
      <c r="N132" s="6"/>
    </row>
    <row r="133" spans="11:14" x14ac:dyDescent="0.25">
      <c r="K133">
        <v>127</v>
      </c>
      <c r="L133" t="s">
        <v>45</v>
      </c>
      <c r="M133">
        <v>6</v>
      </c>
      <c r="N133" s="6"/>
    </row>
    <row r="134" spans="11:14" x14ac:dyDescent="0.25">
      <c r="K134">
        <v>128</v>
      </c>
      <c r="L134" t="s">
        <v>45</v>
      </c>
      <c r="M134">
        <v>12</v>
      </c>
      <c r="N134" s="6"/>
    </row>
    <row r="135" spans="11:14" x14ac:dyDescent="0.25">
      <c r="K135">
        <v>129</v>
      </c>
      <c r="L135" t="s">
        <v>45</v>
      </c>
      <c r="M135">
        <v>6</v>
      </c>
      <c r="N135" s="6"/>
    </row>
    <row r="136" spans="11:14" x14ac:dyDescent="0.25">
      <c r="K136">
        <v>130</v>
      </c>
      <c r="L136" t="s">
        <v>53</v>
      </c>
      <c r="M136">
        <v>7</v>
      </c>
      <c r="N136" s="6"/>
    </row>
    <row r="137" spans="11:14" x14ac:dyDescent="0.25">
      <c r="K137">
        <v>131</v>
      </c>
      <c r="L137" t="s">
        <v>53</v>
      </c>
      <c r="M137">
        <v>7</v>
      </c>
      <c r="N137" s="6"/>
    </row>
    <row r="138" spans="11:14" x14ac:dyDescent="0.25">
      <c r="K138">
        <v>132</v>
      </c>
      <c r="L138" t="s">
        <v>53</v>
      </c>
      <c r="M138">
        <v>7</v>
      </c>
      <c r="N138" s="6"/>
    </row>
    <row r="139" spans="11:14" x14ac:dyDescent="0.25">
      <c r="K139">
        <v>133</v>
      </c>
      <c r="L139" t="s">
        <v>53</v>
      </c>
      <c r="M139">
        <v>8</v>
      </c>
      <c r="N139" s="6"/>
    </row>
    <row r="140" spans="11:14" x14ac:dyDescent="0.25">
      <c r="K140">
        <v>134</v>
      </c>
      <c r="L140" t="s">
        <v>45</v>
      </c>
      <c r="M140">
        <v>3</v>
      </c>
      <c r="N140" s="6"/>
    </row>
    <row r="141" spans="11:14" x14ac:dyDescent="0.25">
      <c r="K141">
        <v>135</v>
      </c>
      <c r="L141" t="s">
        <v>53</v>
      </c>
      <c r="M141">
        <v>4</v>
      </c>
      <c r="N141" s="6"/>
    </row>
    <row r="142" spans="11:14" x14ac:dyDescent="0.25">
      <c r="K142">
        <v>136</v>
      </c>
      <c r="L142" t="s">
        <v>53</v>
      </c>
      <c r="M142">
        <v>6</v>
      </c>
      <c r="N142" s="6"/>
    </row>
    <row r="143" spans="11:14" x14ac:dyDescent="0.25">
      <c r="K143">
        <v>137</v>
      </c>
      <c r="L143" t="s">
        <v>53</v>
      </c>
      <c r="M143">
        <v>7</v>
      </c>
      <c r="N143" s="6"/>
    </row>
    <row r="144" spans="11:14" x14ac:dyDescent="0.25">
      <c r="K144">
        <v>138</v>
      </c>
      <c r="L144" t="s">
        <v>45</v>
      </c>
      <c r="M144">
        <v>4</v>
      </c>
      <c r="N144" s="6"/>
    </row>
    <row r="145" spans="11:14" x14ac:dyDescent="0.25">
      <c r="K145">
        <v>139</v>
      </c>
      <c r="L145" t="s">
        <v>53</v>
      </c>
      <c r="M145">
        <v>6</v>
      </c>
      <c r="N145" s="6"/>
    </row>
    <row r="146" spans="11:14" x14ac:dyDescent="0.25">
      <c r="K146">
        <v>140</v>
      </c>
      <c r="L146" t="s">
        <v>45</v>
      </c>
      <c r="M146">
        <v>8</v>
      </c>
      <c r="N146" s="6"/>
    </row>
    <row r="147" spans="11:14" x14ac:dyDescent="0.25">
      <c r="K147">
        <v>141</v>
      </c>
      <c r="L147" t="s">
        <v>53</v>
      </c>
      <c r="M147">
        <v>5</v>
      </c>
      <c r="N147" s="6"/>
    </row>
    <row r="148" spans="11:14" x14ac:dyDescent="0.25">
      <c r="K148">
        <v>142</v>
      </c>
      <c r="L148" t="s">
        <v>53</v>
      </c>
      <c r="M148">
        <v>7</v>
      </c>
      <c r="N148" s="6"/>
    </row>
    <row r="149" spans="11:14" x14ac:dyDescent="0.25">
      <c r="K149">
        <v>143</v>
      </c>
      <c r="L149" t="s">
        <v>45</v>
      </c>
      <c r="M149">
        <v>2</v>
      </c>
      <c r="N149" s="6"/>
    </row>
    <row r="150" spans="11:14" x14ac:dyDescent="0.25">
      <c r="K150">
        <v>144</v>
      </c>
      <c r="L150" t="s">
        <v>45</v>
      </c>
      <c r="M150">
        <v>5</v>
      </c>
      <c r="N150" s="6"/>
    </row>
    <row r="151" spans="11:14" x14ac:dyDescent="0.25">
      <c r="K151">
        <v>145</v>
      </c>
      <c r="L151" t="s">
        <v>53</v>
      </c>
      <c r="M151">
        <v>8</v>
      </c>
      <c r="N151" s="6"/>
    </row>
    <row r="152" spans="11:14" x14ac:dyDescent="0.25">
      <c r="K152">
        <v>146</v>
      </c>
      <c r="L152" t="s">
        <v>45</v>
      </c>
      <c r="M152">
        <v>10</v>
      </c>
      <c r="N152" s="6"/>
    </row>
    <row r="153" spans="11:14" x14ac:dyDescent="0.25">
      <c r="K153">
        <v>147</v>
      </c>
      <c r="L153" t="s">
        <v>53</v>
      </c>
      <c r="M153">
        <v>7</v>
      </c>
      <c r="N153" s="6"/>
    </row>
    <row r="154" spans="11:14" x14ac:dyDescent="0.25">
      <c r="K154">
        <v>148</v>
      </c>
      <c r="L154" t="s">
        <v>53</v>
      </c>
      <c r="M154">
        <v>5</v>
      </c>
      <c r="N154" s="6"/>
    </row>
    <row r="155" spans="11:14" x14ac:dyDescent="0.25">
      <c r="K155">
        <v>149</v>
      </c>
      <c r="L155" t="s">
        <v>53</v>
      </c>
      <c r="M155">
        <v>6</v>
      </c>
      <c r="N155" s="6"/>
    </row>
    <row r="156" spans="11:14" x14ac:dyDescent="0.25">
      <c r="K156">
        <v>150</v>
      </c>
      <c r="L156" t="s">
        <v>45</v>
      </c>
      <c r="M156">
        <v>2</v>
      </c>
      <c r="N156" s="6"/>
    </row>
    <row r="157" spans="11:14" x14ac:dyDescent="0.25">
      <c r="K157">
        <v>151</v>
      </c>
      <c r="L157" t="s">
        <v>45</v>
      </c>
      <c r="M157">
        <v>3</v>
      </c>
      <c r="N157" s="6"/>
    </row>
    <row r="158" spans="11:14" x14ac:dyDescent="0.25">
      <c r="K158">
        <v>152</v>
      </c>
      <c r="L158" t="s">
        <v>53</v>
      </c>
      <c r="M158">
        <v>5</v>
      </c>
      <c r="N158" s="6"/>
    </row>
    <row r="159" spans="11:14" x14ac:dyDescent="0.25">
      <c r="K159">
        <v>153</v>
      </c>
      <c r="L159" t="s">
        <v>53</v>
      </c>
      <c r="M159">
        <v>7</v>
      </c>
      <c r="N159" s="6"/>
    </row>
    <row r="160" spans="11:14" x14ac:dyDescent="0.25">
      <c r="K160">
        <v>154</v>
      </c>
      <c r="L160" t="s">
        <v>45</v>
      </c>
      <c r="M160">
        <v>3</v>
      </c>
      <c r="N160" s="6"/>
    </row>
    <row r="161" spans="11:14" x14ac:dyDescent="0.25">
      <c r="K161">
        <v>155</v>
      </c>
      <c r="L161" t="s">
        <v>45</v>
      </c>
      <c r="M161">
        <v>12</v>
      </c>
      <c r="N161" s="6"/>
    </row>
    <row r="162" spans="11:14" x14ac:dyDescent="0.25">
      <c r="K162">
        <v>156</v>
      </c>
      <c r="L162" t="s">
        <v>45</v>
      </c>
      <c r="M162">
        <v>8</v>
      </c>
      <c r="N162" s="6"/>
    </row>
    <row r="163" spans="11:14" x14ac:dyDescent="0.25">
      <c r="K163">
        <v>157</v>
      </c>
      <c r="L163" t="s">
        <v>45</v>
      </c>
      <c r="M163">
        <v>11</v>
      </c>
      <c r="N163" s="6"/>
    </row>
    <row r="164" spans="11:14" x14ac:dyDescent="0.25">
      <c r="K164">
        <v>158</v>
      </c>
      <c r="L164" t="s">
        <v>53</v>
      </c>
      <c r="M164">
        <v>7</v>
      </c>
      <c r="N164" s="6"/>
    </row>
    <row r="165" spans="11:14" x14ac:dyDescent="0.25">
      <c r="K165">
        <v>159</v>
      </c>
      <c r="L165" t="s">
        <v>53</v>
      </c>
      <c r="M165">
        <v>7</v>
      </c>
      <c r="N165" s="6"/>
    </row>
    <row r="166" spans="11:14" x14ac:dyDescent="0.25">
      <c r="K166">
        <v>160</v>
      </c>
      <c r="L166" t="s">
        <v>45</v>
      </c>
      <c r="M166">
        <v>11</v>
      </c>
      <c r="N166" s="6"/>
    </row>
    <row r="167" spans="11:14" x14ac:dyDescent="0.25">
      <c r="K167">
        <v>161</v>
      </c>
      <c r="L167" t="s">
        <v>45</v>
      </c>
      <c r="M167">
        <v>10</v>
      </c>
      <c r="N167" s="6"/>
    </row>
    <row r="168" spans="11:14" x14ac:dyDescent="0.25">
      <c r="K168">
        <v>162</v>
      </c>
      <c r="L168" t="s">
        <v>53</v>
      </c>
      <c r="M168">
        <v>8</v>
      </c>
      <c r="N168" s="6"/>
    </row>
    <row r="169" spans="11:14" x14ac:dyDescent="0.25">
      <c r="K169">
        <v>163</v>
      </c>
      <c r="L169" t="s">
        <v>53</v>
      </c>
      <c r="M169">
        <v>10</v>
      </c>
      <c r="N169" s="6"/>
    </row>
    <row r="170" spans="11:14" x14ac:dyDescent="0.25">
      <c r="K170">
        <v>164</v>
      </c>
      <c r="L170" t="s">
        <v>53</v>
      </c>
      <c r="M170">
        <v>4</v>
      </c>
      <c r="N170" s="6"/>
    </row>
    <row r="171" spans="11:14" x14ac:dyDescent="0.25">
      <c r="K171">
        <v>165</v>
      </c>
      <c r="L171" t="s">
        <v>53</v>
      </c>
      <c r="M171">
        <v>4</v>
      </c>
      <c r="N171" s="6"/>
    </row>
    <row r="172" spans="11:14" x14ac:dyDescent="0.25">
      <c r="K172">
        <v>166</v>
      </c>
      <c r="L172" t="s">
        <v>53</v>
      </c>
      <c r="M172">
        <v>4</v>
      </c>
      <c r="N172" s="6"/>
    </row>
    <row r="173" spans="11:14" x14ac:dyDescent="0.25">
      <c r="K173">
        <v>167</v>
      </c>
      <c r="L173" t="s">
        <v>53</v>
      </c>
      <c r="M173">
        <v>4</v>
      </c>
      <c r="N173" s="6"/>
    </row>
    <row r="174" spans="11:14" x14ac:dyDescent="0.25">
      <c r="K174">
        <v>168</v>
      </c>
      <c r="L174" t="s">
        <v>45</v>
      </c>
      <c r="M174">
        <v>11</v>
      </c>
      <c r="N174" s="6"/>
    </row>
    <row r="175" spans="11:14" x14ac:dyDescent="0.25">
      <c r="K175">
        <v>169</v>
      </c>
      <c r="L175" t="s">
        <v>53</v>
      </c>
      <c r="M175">
        <v>9</v>
      </c>
      <c r="N175" s="6"/>
    </row>
    <row r="176" spans="11:14" x14ac:dyDescent="0.25">
      <c r="K176">
        <v>170</v>
      </c>
      <c r="L176" t="s">
        <v>45</v>
      </c>
      <c r="M176">
        <v>10</v>
      </c>
      <c r="N176" s="6"/>
    </row>
    <row r="177" spans="11:14" x14ac:dyDescent="0.25">
      <c r="K177">
        <v>171</v>
      </c>
      <c r="L177" t="s">
        <v>45</v>
      </c>
      <c r="M177">
        <v>8</v>
      </c>
      <c r="N177" s="6"/>
    </row>
    <row r="178" spans="11:14" x14ac:dyDescent="0.25">
      <c r="K178">
        <v>172</v>
      </c>
      <c r="L178" t="s">
        <v>53</v>
      </c>
      <c r="M178">
        <v>7</v>
      </c>
      <c r="N178" s="6"/>
    </row>
    <row r="179" spans="11:14" x14ac:dyDescent="0.25">
      <c r="K179">
        <v>173</v>
      </c>
      <c r="L179" t="s">
        <v>53</v>
      </c>
      <c r="M179">
        <v>9</v>
      </c>
      <c r="N179" s="6"/>
    </row>
    <row r="180" spans="11:14" x14ac:dyDescent="0.25">
      <c r="K180">
        <v>174</v>
      </c>
      <c r="L180" t="s">
        <v>53</v>
      </c>
      <c r="M180">
        <v>6</v>
      </c>
      <c r="N180" s="6"/>
    </row>
    <row r="181" spans="11:14" x14ac:dyDescent="0.25">
      <c r="K181">
        <v>175</v>
      </c>
      <c r="L181" t="s">
        <v>53</v>
      </c>
      <c r="M181">
        <v>7</v>
      </c>
      <c r="N181" s="6"/>
    </row>
    <row r="182" spans="11:14" x14ac:dyDescent="0.25">
      <c r="K182">
        <v>176</v>
      </c>
      <c r="L182" t="s">
        <v>53</v>
      </c>
      <c r="M182">
        <v>6</v>
      </c>
      <c r="N182" s="6"/>
    </row>
    <row r="183" spans="11:14" x14ac:dyDescent="0.25">
      <c r="K183">
        <v>177</v>
      </c>
      <c r="L183" t="s">
        <v>45</v>
      </c>
      <c r="M183">
        <v>12</v>
      </c>
      <c r="N183" s="6"/>
    </row>
    <row r="184" spans="11:14" x14ac:dyDescent="0.25">
      <c r="K184">
        <v>178</v>
      </c>
      <c r="L184" t="s">
        <v>53</v>
      </c>
      <c r="M184">
        <v>10</v>
      </c>
      <c r="N184" s="6"/>
    </row>
    <row r="185" spans="11:14" x14ac:dyDescent="0.25">
      <c r="K185">
        <v>179</v>
      </c>
      <c r="L185" t="s">
        <v>45</v>
      </c>
      <c r="M185">
        <v>6</v>
      </c>
      <c r="N185" s="6"/>
    </row>
    <row r="186" spans="11:14" x14ac:dyDescent="0.25">
      <c r="K186">
        <v>180</v>
      </c>
      <c r="L186" t="s">
        <v>53</v>
      </c>
      <c r="M186">
        <v>7</v>
      </c>
      <c r="N186" s="6"/>
    </row>
    <row r="187" spans="11:14" x14ac:dyDescent="0.25">
      <c r="K187">
        <v>181</v>
      </c>
      <c r="L187" t="s">
        <v>45</v>
      </c>
      <c r="M187">
        <v>4</v>
      </c>
      <c r="N187" s="6"/>
    </row>
    <row r="188" spans="11:14" x14ac:dyDescent="0.25">
      <c r="K188">
        <v>182</v>
      </c>
      <c r="L188" t="s">
        <v>45</v>
      </c>
      <c r="M188">
        <v>6</v>
      </c>
      <c r="N188" s="6"/>
    </row>
    <row r="189" spans="11:14" x14ac:dyDescent="0.25">
      <c r="K189">
        <v>183</v>
      </c>
      <c r="L189" t="s">
        <v>53</v>
      </c>
      <c r="M189">
        <v>8</v>
      </c>
      <c r="N189" s="6"/>
    </row>
    <row r="190" spans="11:14" x14ac:dyDescent="0.25">
      <c r="K190">
        <v>184</v>
      </c>
      <c r="L190" t="s">
        <v>53</v>
      </c>
      <c r="M190">
        <v>6</v>
      </c>
      <c r="N190" s="6"/>
    </row>
    <row r="191" spans="11:14" x14ac:dyDescent="0.25">
      <c r="K191">
        <v>185</v>
      </c>
      <c r="L191" t="s">
        <v>53</v>
      </c>
      <c r="M191">
        <v>9</v>
      </c>
      <c r="N191" s="6"/>
    </row>
    <row r="192" spans="11:14" x14ac:dyDescent="0.25">
      <c r="K192">
        <v>186</v>
      </c>
      <c r="L192" t="s">
        <v>53</v>
      </c>
      <c r="M192">
        <v>9</v>
      </c>
      <c r="N192" s="6"/>
    </row>
    <row r="193" spans="11:14" x14ac:dyDescent="0.25">
      <c r="K193">
        <v>187</v>
      </c>
      <c r="L193" t="s">
        <v>53</v>
      </c>
      <c r="M193">
        <v>4</v>
      </c>
      <c r="N193" s="6"/>
    </row>
    <row r="194" spans="11:14" x14ac:dyDescent="0.25">
      <c r="K194">
        <v>188</v>
      </c>
      <c r="L194" t="s">
        <v>45</v>
      </c>
      <c r="M194">
        <v>11</v>
      </c>
      <c r="N194" s="6"/>
    </row>
    <row r="195" spans="11:14" x14ac:dyDescent="0.25">
      <c r="K195">
        <v>189</v>
      </c>
      <c r="L195" t="s">
        <v>53</v>
      </c>
      <c r="M195">
        <v>10</v>
      </c>
      <c r="N195" s="6"/>
    </row>
    <row r="196" spans="11:14" x14ac:dyDescent="0.25">
      <c r="K196">
        <v>190</v>
      </c>
      <c r="L196" t="s">
        <v>53</v>
      </c>
      <c r="M196">
        <v>9</v>
      </c>
      <c r="N196" s="6"/>
    </row>
    <row r="197" spans="11:14" x14ac:dyDescent="0.25">
      <c r="K197">
        <v>191</v>
      </c>
      <c r="L197" t="s">
        <v>53</v>
      </c>
      <c r="M197">
        <v>5</v>
      </c>
      <c r="N197" s="6"/>
    </row>
    <row r="198" spans="11:14" x14ac:dyDescent="0.25">
      <c r="K198">
        <v>192</v>
      </c>
      <c r="L198" t="s">
        <v>45</v>
      </c>
      <c r="M198">
        <v>3</v>
      </c>
      <c r="N198" s="6"/>
    </row>
    <row r="199" spans="11:14" x14ac:dyDescent="0.25">
      <c r="K199">
        <v>193</v>
      </c>
      <c r="L199" t="s">
        <v>45</v>
      </c>
      <c r="M199">
        <v>6</v>
      </c>
      <c r="N199" s="6"/>
    </row>
    <row r="200" spans="11:14" x14ac:dyDescent="0.25">
      <c r="K200">
        <v>194</v>
      </c>
      <c r="L200" t="s">
        <v>53</v>
      </c>
      <c r="M200">
        <v>7</v>
      </c>
      <c r="N200" s="6"/>
    </row>
    <row r="201" spans="11:14" x14ac:dyDescent="0.25">
      <c r="K201">
        <v>195</v>
      </c>
      <c r="L201" t="s">
        <v>53</v>
      </c>
      <c r="M201">
        <v>5</v>
      </c>
      <c r="N201" s="6"/>
    </row>
    <row r="202" spans="11:14" x14ac:dyDescent="0.25">
      <c r="K202">
        <v>196</v>
      </c>
      <c r="L202" t="s">
        <v>45</v>
      </c>
      <c r="M202">
        <v>11</v>
      </c>
      <c r="N202" s="6"/>
    </row>
    <row r="203" spans="11:14" x14ac:dyDescent="0.25">
      <c r="K203">
        <v>197</v>
      </c>
      <c r="L203" t="s">
        <v>45</v>
      </c>
      <c r="M203">
        <v>3</v>
      </c>
      <c r="N203" s="6"/>
    </row>
    <row r="204" spans="11:14" x14ac:dyDescent="0.25">
      <c r="K204">
        <v>198</v>
      </c>
      <c r="L204" t="s">
        <v>45</v>
      </c>
      <c r="M204">
        <v>2</v>
      </c>
      <c r="N204" s="6"/>
    </row>
    <row r="205" spans="11:14" x14ac:dyDescent="0.25">
      <c r="K205">
        <v>199</v>
      </c>
      <c r="L205" t="s">
        <v>45</v>
      </c>
      <c r="M205">
        <v>2</v>
      </c>
      <c r="N205" s="6"/>
    </row>
    <row r="206" spans="11:14" x14ac:dyDescent="0.25">
      <c r="K206">
        <v>200</v>
      </c>
      <c r="L206" t="s">
        <v>53</v>
      </c>
      <c r="M206">
        <v>4</v>
      </c>
      <c r="N206" s="6"/>
    </row>
    <row r="207" spans="11:14" x14ac:dyDescent="0.25">
      <c r="K207">
        <v>201</v>
      </c>
      <c r="L207" t="s">
        <v>45</v>
      </c>
      <c r="M207">
        <v>8</v>
      </c>
      <c r="N207" s="6"/>
    </row>
    <row r="208" spans="11:14" x14ac:dyDescent="0.25">
      <c r="K208">
        <v>202</v>
      </c>
      <c r="L208" t="s">
        <v>53</v>
      </c>
      <c r="M208">
        <v>6</v>
      </c>
      <c r="N208" s="6"/>
    </row>
    <row r="209" spans="11:14" x14ac:dyDescent="0.25">
      <c r="K209">
        <v>203</v>
      </c>
      <c r="L209" t="s">
        <v>53</v>
      </c>
      <c r="M209">
        <v>8</v>
      </c>
      <c r="N209" s="6"/>
    </row>
    <row r="210" spans="11:14" x14ac:dyDescent="0.25">
      <c r="K210">
        <v>204</v>
      </c>
      <c r="L210" t="s">
        <v>45</v>
      </c>
      <c r="M210">
        <v>6</v>
      </c>
      <c r="N210" s="6"/>
    </row>
    <row r="211" spans="11:14" x14ac:dyDescent="0.25">
      <c r="K211">
        <v>205</v>
      </c>
      <c r="L211" t="s">
        <v>53</v>
      </c>
      <c r="M211">
        <v>10</v>
      </c>
      <c r="N211" s="6"/>
    </row>
    <row r="212" spans="11:14" x14ac:dyDescent="0.25">
      <c r="K212">
        <v>206</v>
      </c>
      <c r="L212" t="s">
        <v>45</v>
      </c>
      <c r="M212">
        <v>3</v>
      </c>
      <c r="N212" s="6"/>
    </row>
    <row r="213" spans="11:14" x14ac:dyDescent="0.25">
      <c r="K213">
        <v>207</v>
      </c>
      <c r="L213" t="s">
        <v>53</v>
      </c>
      <c r="M213">
        <v>8</v>
      </c>
      <c r="N213" s="6"/>
    </row>
    <row r="214" spans="11:14" x14ac:dyDescent="0.25">
      <c r="K214">
        <v>208</v>
      </c>
      <c r="L214" t="s">
        <v>53</v>
      </c>
      <c r="M214">
        <v>8</v>
      </c>
      <c r="N214" s="6"/>
    </row>
    <row r="215" spans="11:14" x14ac:dyDescent="0.25">
      <c r="K215">
        <v>209</v>
      </c>
      <c r="L215" t="s">
        <v>53</v>
      </c>
      <c r="M215">
        <v>5</v>
      </c>
      <c r="N215" s="6"/>
    </row>
    <row r="216" spans="11:14" x14ac:dyDescent="0.25">
      <c r="K216">
        <v>210</v>
      </c>
      <c r="L216" t="s">
        <v>53</v>
      </c>
      <c r="M216">
        <v>7</v>
      </c>
      <c r="N216" s="6"/>
    </row>
    <row r="217" spans="11:14" x14ac:dyDescent="0.25">
      <c r="K217">
        <v>211</v>
      </c>
      <c r="L217" t="s">
        <v>45</v>
      </c>
      <c r="M217">
        <v>4</v>
      </c>
      <c r="N217" s="6"/>
    </row>
    <row r="218" spans="11:14" x14ac:dyDescent="0.25">
      <c r="K218">
        <v>212</v>
      </c>
      <c r="L218" t="s">
        <v>45</v>
      </c>
      <c r="M218">
        <v>8</v>
      </c>
      <c r="N218" s="6"/>
    </row>
    <row r="219" spans="11:14" x14ac:dyDescent="0.25">
      <c r="K219">
        <v>213</v>
      </c>
      <c r="L219" t="s">
        <v>53</v>
      </c>
      <c r="M219">
        <v>8</v>
      </c>
      <c r="N219" s="6"/>
    </row>
    <row r="220" spans="11:14" x14ac:dyDescent="0.25">
      <c r="K220">
        <v>214</v>
      </c>
      <c r="L220" t="s">
        <v>45</v>
      </c>
      <c r="M220">
        <v>12</v>
      </c>
      <c r="N220" s="6"/>
    </row>
    <row r="221" spans="11:14" x14ac:dyDescent="0.25">
      <c r="K221">
        <v>215</v>
      </c>
      <c r="L221" t="s">
        <v>53</v>
      </c>
      <c r="M221">
        <v>6</v>
      </c>
      <c r="N221" s="6"/>
    </row>
    <row r="222" spans="11:14" x14ac:dyDescent="0.25">
      <c r="K222">
        <v>216</v>
      </c>
      <c r="L222" t="s">
        <v>45</v>
      </c>
      <c r="M222">
        <v>3</v>
      </c>
      <c r="N222" s="6"/>
    </row>
    <row r="223" spans="11:14" x14ac:dyDescent="0.25">
      <c r="K223">
        <v>217</v>
      </c>
      <c r="L223" t="s">
        <v>53</v>
      </c>
      <c r="M223">
        <v>7</v>
      </c>
      <c r="N223" s="6"/>
    </row>
    <row r="224" spans="11:14" x14ac:dyDescent="0.25">
      <c r="K224">
        <v>218</v>
      </c>
      <c r="L224" t="s">
        <v>53</v>
      </c>
      <c r="M224">
        <v>5</v>
      </c>
      <c r="N224" s="6"/>
    </row>
    <row r="225" spans="11:14" x14ac:dyDescent="0.25">
      <c r="K225">
        <v>219</v>
      </c>
      <c r="L225" t="s">
        <v>45</v>
      </c>
      <c r="M225">
        <v>9</v>
      </c>
      <c r="N225" s="6"/>
    </row>
    <row r="226" spans="11:14" x14ac:dyDescent="0.25">
      <c r="K226">
        <v>220</v>
      </c>
      <c r="L226" t="s">
        <v>53</v>
      </c>
      <c r="M226">
        <v>10</v>
      </c>
      <c r="N226" s="6"/>
    </row>
    <row r="227" spans="11:14" x14ac:dyDescent="0.25">
      <c r="K227">
        <v>221</v>
      </c>
      <c r="L227" t="s">
        <v>45</v>
      </c>
      <c r="M227">
        <v>3</v>
      </c>
      <c r="N227" s="6"/>
    </row>
    <row r="228" spans="11:14" x14ac:dyDescent="0.25">
      <c r="K228">
        <v>222</v>
      </c>
      <c r="L228" t="s">
        <v>45</v>
      </c>
      <c r="M228">
        <v>5</v>
      </c>
      <c r="N228" s="6"/>
    </row>
    <row r="229" spans="11:14" x14ac:dyDescent="0.25">
      <c r="K229">
        <v>223</v>
      </c>
      <c r="L229" t="s">
        <v>45</v>
      </c>
      <c r="M229">
        <v>9</v>
      </c>
      <c r="N229" s="6"/>
    </row>
    <row r="230" spans="11:14" x14ac:dyDescent="0.25">
      <c r="K230">
        <v>224</v>
      </c>
      <c r="L230" t="s">
        <v>53</v>
      </c>
      <c r="M230">
        <v>10</v>
      </c>
      <c r="N230" s="6"/>
    </row>
    <row r="231" spans="11:14" x14ac:dyDescent="0.25">
      <c r="K231">
        <v>225</v>
      </c>
      <c r="L231" t="s">
        <v>53</v>
      </c>
      <c r="M231">
        <v>9</v>
      </c>
      <c r="N231" s="6"/>
    </row>
    <row r="232" spans="11:14" x14ac:dyDescent="0.25">
      <c r="K232">
        <v>226</v>
      </c>
      <c r="L232" t="s">
        <v>53</v>
      </c>
      <c r="M232">
        <v>7</v>
      </c>
      <c r="N232" s="6"/>
    </row>
    <row r="233" spans="11:14" x14ac:dyDescent="0.25">
      <c r="K233">
        <v>227</v>
      </c>
      <c r="L233" t="s">
        <v>45</v>
      </c>
      <c r="M233">
        <v>10</v>
      </c>
      <c r="N233" s="6"/>
    </row>
    <row r="234" spans="11:14" x14ac:dyDescent="0.25">
      <c r="K234">
        <v>228</v>
      </c>
      <c r="L234" t="s">
        <v>53</v>
      </c>
      <c r="M234">
        <v>10</v>
      </c>
      <c r="N234" s="6"/>
    </row>
    <row r="235" spans="11:14" x14ac:dyDescent="0.25">
      <c r="K235">
        <v>229</v>
      </c>
      <c r="L235" t="s">
        <v>53</v>
      </c>
      <c r="M235">
        <v>6</v>
      </c>
      <c r="N235" s="6"/>
    </row>
    <row r="236" spans="11:14" x14ac:dyDescent="0.25">
      <c r="K236">
        <v>230</v>
      </c>
      <c r="L236" t="s">
        <v>45</v>
      </c>
      <c r="M236">
        <v>8</v>
      </c>
      <c r="N236" s="6"/>
    </row>
    <row r="237" spans="11:14" x14ac:dyDescent="0.25">
      <c r="K237">
        <v>231</v>
      </c>
      <c r="L237" t="s">
        <v>45</v>
      </c>
      <c r="M237">
        <v>11</v>
      </c>
      <c r="N237" s="6"/>
    </row>
    <row r="238" spans="11:14" x14ac:dyDescent="0.25">
      <c r="K238">
        <v>232</v>
      </c>
      <c r="L238" t="s">
        <v>53</v>
      </c>
      <c r="M238">
        <v>7</v>
      </c>
      <c r="N238" s="6"/>
    </row>
    <row r="239" spans="11:14" x14ac:dyDescent="0.25">
      <c r="K239">
        <v>233</v>
      </c>
      <c r="L239" t="s">
        <v>45</v>
      </c>
      <c r="M239">
        <v>5</v>
      </c>
      <c r="N239" s="6"/>
    </row>
    <row r="240" spans="11:14" x14ac:dyDescent="0.25">
      <c r="K240">
        <v>234</v>
      </c>
      <c r="L240" t="s">
        <v>53</v>
      </c>
      <c r="M240">
        <v>5</v>
      </c>
      <c r="N240" s="6"/>
    </row>
    <row r="241" spans="11:14" x14ac:dyDescent="0.25">
      <c r="K241">
        <v>235</v>
      </c>
      <c r="L241" t="s">
        <v>53</v>
      </c>
      <c r="M241">
        <v>7</v>
      </c>
      <c r="N241" s="6"/>
    </row>
    <row r="242" spans="11:14" x14ac:dyDescent="0.25">
      <c r="K242">
        <v>236</v>
      </c>
      <c r="L242" t="s">
        <v>53</v>
      </c>
      <c r="M242">
        <v>7</v>
      </c>
      <c r="N242" s="6"/>
    </row>
    <row r="243" spans="11:14" x14ac:dyDescent="0.25">
      <c r="K243">
        <v>237</v>
      </c>
      <c r="L243" t="s">
        <v>53</v>
      </c>
      <c r="M243">
        <v>6</v>
      </c>
      <c r="N243" s="6"/>
    </row>
    <row r="244" spans="11:14" x14ac:dyDescent="0.25">
      <c r="K244">
        <v>238</v>
      </c>
      <c r="L244" t="s">
        <v>53</v>
      </c>
      <c r="M244">
        <v>9</v>
      </c>
      <c r="N244" s="6"/>
    </row>
    <row r="245" spans="11:14" x14ac:dyDescent="0.25">
      <c r="K245">
        <v>239</v>
      </c>
      <c r="L245" t="s">
        <v>45</v>
      </c>
      <c r="M245">
        <v>8</v>
      </c>
      <c r="N245" s="6"/>
    </row>
    <row r="246" spans="11:14" x14ac:dyDescent="0.25">
      <c r="K246">
        <v>240</v>
      </c>
      <c r="L246" t="s">
        <v>53</v>
      </c>
      <c r="M246">
        <v>7</v>
      </c>
      <c r="N246" s="6"/>
    </row>
    <row r="247" spans="11:14" x14ac:dyDescent="0.25">
      <c r="K247">
        <v>241</v>
      </c>
      <c r="L247" t="s">
        <v>53</v>
      </c>
      <c r="M247">
        <v>8</v>
      </c>
      <c r="N247" s="6"/>
    </row>
    <row r="248" spans="11:14" x14ac:dyDescent="0.25">
      <c r="K248">
        <v>242</v>
      </c>
      <c r="L248" t="s">
        <v>45</v>
      </c>
      <c r="M248">
        <v>5</v>
      </c>
      <c r="N248" s="6"/>
    </row>
    <row r="249" spans="11:14" x14ac:dyDescent="0.25">
      <c r="K249">
        <v>243</v>
      </c>
      <c r="L249" t="s">
        <v>53</v>
      </c>
      <c r="M249">
        <v>6</v>
      </c>
      <c r="N249" s="6"/>
    </row>
    <row r="250" spans="11:14" x14ac:dyDescent="0.25">
      <c r="K250">
        <v>244</v>
      </c>
      <c r="L250" t="s">
        <v>53</v>
      </c>
      <c r="M250">
        <v>6</v>
      </c>
      <c r="N250" s="6"/>
    </row>
    <row r="251" spans="11:14" x14ac:dyDescent="0.25">
      <c r="K251">
        <v>245</v>
      </c>
      <c r="L251" t="s">
        <v>53</v>
      </c>
      <c r="M251">
        <v>6</v>
      </c>
      <c r="N251" s="6"/>
    </row>
    <row r="252" spans="11:14" x14ac:dyDescent="0.25">
      <c r="K252">
        <v>246</v>
      </c>
      <c r="L252" t="s">
        <v>45</v>
      </c>
      <c r="M252">
        <v>8</v>
      </c>
      <c r="N252" s="6"/>
    </row>
    <row r="253" spans="11:14" x14ac:dyDescent="0.25">
      <c r="K253">
        <v>247</v>
      </c>
      <c r="L253" t="s">
        <v>53</v>
      </c>
      <c r="M253">
        <v>8</v>
      </c>
      <c r="N253" s="6"/>
    </row>
    <row r="254" spans="11:14" x14ac:dyDescent="0.25">
      <c r="K254">
        <v>248</v>
      </c>
      <c r="L254" t="s">
        <v>45</v>
      </c>
      <c r="M254">
        <v>12</v>
      </c>
      <c r="N254" s="6"/>
    </row>
    <row r="255" spans="11:14" x14ac:dyDescent="0.25">
      <c r="K255">
        <v>249</v>
      </c>
      <c r="L255" t="s">
        <v>53</v>
      </c>
      <c r="M255">
        <v>7</v>
      </c>
      <c r="N255" s="6"/>
    </row>
    <row r="256" spans="11:14" x14ac:dyDescent="0.25">
      <c r="K256">
        <v>250</v>
      </c>
      <c r="L256" t="s">
        <v>53</v>
      </c>
      <c r="M256">
        <v>8</v>
      </c>
      <c r="N256" s="6"/>
    </row>
    <row r="257" spans="11:14" x14ac:dyDescent="0.25">
      <c r="K257">
        <v>251</v>
      </c>
      <c r="L257" t="s">
        <v>53</v>
      </c>
      <c r="M257">
        <v>9</v>
      </c>
      <c r="N257" s="6"/>
    </row>
    <row r="258" spans="11:14" x14ac:dyDescent="0.25">
      <c r="K258">
        <v>252</v>
      </c>
      <c r="L258" t="s">
        <v>53</v>
      </c>
      <c r="M258">
        <v>5</v>
      </c>
      <c r="N258" s="6"/>
    </row>
    <row r="259" spans="11:14" x14ac:dyDescent="0.25">
      <c r="K259">
        <v>253</v>
      </c>
      <c r="L259" t="s">
        <v>53</v>
      </c>
      <c r="M259">
        <v>8</v>
      </c>
      <c r="N259" s="6"/>
    </row>
    <row r="260" spans="11:14" x14ac:dyDescent="0.25">
      <c r="K260">
        <v>254</v>
      </c>
      <c r="L260" t="s">
        <v>53</v>
      </c>
      <c r="M260">
        <v>7</v>
      </c>
      <c r="N260" s="6"/>
    </row>
    <row r="261" spans="11:14" x14ac:dyDescent="0.25">
      <c r="K261">
        <v>255</v>
      </c>
      <c r="L261" t="s">
        <v>45</v>
      </c>
      <c r="M261">
        <v>11</v>
      </c>
      <c r="N261" s="6"/>
    </row>
    <row r="262" spans="11:14" x14ac:dyDescent="0.25">
      <c r="K262">
        <v>256</v>
      </c>
      <c r="L262" t="s">
        <v>45</v>
      </c>
      <c r="M262">
        <v>9</v>
      </c>
      <c r="N262" s="6"/>
    </row>
    <row r="263" spans="11:14" x14ac:dyDescent="0.25">
      <c r="K263">
        <v>257</v>
      </c>
      <c r="L263" t="s">
        <v>45</v>
      </c>
      <c r="M263">
        <v>8</v>
      </c>
      <c r="N263" s="6"/>
    </row>
    <row r="264" spans="11:14" x14ac:dyDescent="0.25">
      <c r="K264">
        <v>258</v>
      </c>
      <c r="L264" t="s">
        <v>53</v>
      </c>
      <c r="M264">
        <v>10</v>
      </c>
      <c r="N264" s="6"/>
    </row>
    <row r="265" spans="11:14" x14ac:dyDescent="0.25">
      <c r="K265">
        <v>259</v>
      </c>
      <c r="L265" t="s">
        <v>53</v>
      </c>
      <c r="M265">
        <v>8</v>
      </c>
      <c r="N265" s="6"/>
    </row>
    <row r="266" spans="11:14" x14ac:dyDescent="0.25">
      <c r="K266">
        <v>260</v>
      </c>
      <c r="L266" t="s">
        <v>45</v>
      </c>
      <c r="M266">
        <v>5</v>
      </c>
      <c r="N266" s="6"/>
    </row>
    <row r="267" spans="11:14" x14ac:dyDescent="0.25">
      <c r="K267">
        <v>261</v>
      </c>
      <c r="L267" t="s">
        <v>53</v>
      </c>
      <c r="M267">
        <v>6</v>
      </c>
      <c r="N267" s="6"/>
    </row>
    <row r="268" spans="11:14" x14ac:dyDescent="0.25">
      <c r="K268">
        <v>262</v>
      </c>
      <c r="L268" t="s">
        <v>45</v>
      </c>
      <c r="M268">
        <v>8</v>
      </c>
      <c r="N268" s="6"/>
    </row>
    <row r="269" spans="11:14" x14ac:dyDescent="0.25">
      <c r="K269">
        <v>263</v>
      </c>
      <c r="L269" t="s">
        <v>45</v>
      </c>
      <c r="M269">
        <v>10</v>
      </c>
      <c r="N269" s="6"/>
    </row>
    <row r="270" spans="11:14" x14ac:dyDescent="0.25">
      <c r="K270">
        <v>264</v>
      </c>
      <c r="L270" t="s">
        <v>45</v>
      </c>
      <c r="M270">
        <v>12</v>
      </c>
      <c r="N270" s="6"/>
    </row>
    <row r="271" spans="11:14" x14ac:dyDescent="0.25">
      <c r="K271">
        <v>265</v>
      </c>
      <c r="L271" t="s">
        <v>45</v>
      </c>
      <c r="M271">
        <v>10</v>
      </c>
      <c r="N271" s="6"/>
    </row>
    <row r="272" spans="11:14" x14ac:dyDescent="0.25">
      <c r="K272">
        <v>266</v>
      </c>
      <c r="L272" t="s">
        <v>45</v>
      </c>
      <c r="M272">
        <v>4</v>
      </c>
      <c r="N272" s="6"/>
    </row>
    <row r="273" spans="11:14" x14ac:dyDescent="0.25">
      <c r="K273">
        <v>267</v>
      </c>
      <c r="L273" t="s">
        <v>53</v>
      </c>
      <c r="M273">
        <v>7</v>
      </c>
      <c r="N273" s="6"/>
    </row>
    <row r="274" spans="11:14" x14ac:dyDescent="0.25">
      <c r="K274">
        <v>268</v>
      </c>
      <c r="L274" t="s">
        <v>53</v>
      </c>
      <c r="M274">
        <v>9</v>
      </c>
      <c r="N274" s="6"/>
    </row>
    <row r="275" spans="11:14" x14ac:dyDescent="0.25">
      <c r="K275">
        <v>269</v>
      </c>
      <c r="L275" t="s">
        <v>53</v>
      </c>
      <c r="M275">
        <v>7</v>
      </c>
      <c r="N275" s="6"/>
    </row>
    <row r="276" spans="11:14" x14ac:dyDescent="0.25">
      <c r="K276">
        <v>270</v>
      </c>
      <c r="L276" t="s">
        <v>45</v>
      </c>
      <c r="M276">
        <v>8</v>
      </c>
      <c r="N276" s="6"/>
    </row>
    <row r="277" spans="11:14" x14ac:dyDescent="0.25">
      <c r="K277">
        <v>271</v>
      </c>
      <c r="L277" t="s">
        <v>45</v>
      </c>
      <c r="M277">
        <v>11</v>
      </c>
      <c r="N277" s="6"/>
    </row>
    <row r="278" spans="11:14" x14ac:dyDescent="0.25">
      <c r="K278">
        <v>272</v>
      </c>
      <c r="L278" t="s">
        <v>53</v>
      </c>
      <c r="M278">
        <v>8</v>
      </c>
      <c r="N278" s="6"/>
    </row>
    <row r="279" spans="11:14" x14ac:dyDescent="0.25">
      <c r="K279">
        <v>273</v>
      </c>
      <c r="L279" t="s">
        <v>45</v>
      </c>
      <c r="M279">
        <v>12</v>
      </c>
      <c r="N279" s="6"/>
    </row>
    <row r="280" spans="11:14" x14ac:dyDescent="0.25">
      <c r="K280">
        <v>274</v>
      </c>
      <c r="L280" t="s">
        <v>53</v>
      </c>
      <c r="M280">
        <v>6</v>
      </c>
      <c r="N280" s="6"/>
    </row>
    <row r="281" spans="11:14" x14ac:dyDescent="0.25">
      <c r="K281">
        <v>275</v>
      </c>
      <c r="L281" t="s">
        <v>53</v>
      </c>
      <c r="M281">
        <v>7</v>
      </c>
      <c r="N281" s="6"/>
    </row>
    <row r="282" spans="11:14" x14ac:dyDescent="0.25">
      <c r="K282">
        <v>276</v>
      </c>
      <c r="L282" t="s">
        <v>53</v>
      </c>
      <c r="M282">
        <v>5</v>
      </c>
      <c r="N282" s="6"/>
    </row>
    <row r="283" spans="11:14" x14ac:dyDescent="0.25">
      <c r="K283">
        <v>277</v>
      </c>
      <c r="L283" t="s">
        <v>53</v>
      </c>
      <c r="M283">
        <v>4</v>
      </c>
      <c r="N283" s="6"/>
    </row>
    <row r="284" spans="11:14" x14ac:dyDescent="0.25">
      <c r="K284">
        <v>278</v>
      </c>
      <c r="L284" t="s">
        <v>53</v>
      </c>
      <c r="M284">
        <v>5</v>
      </c>
      <c r="N284" s="6"/>
    </row>
    <row r="285" spans="11:14" x14ac:dyDescent="0.25">
      <c r="K285">
        <v>279</v>
      </c>
      <c r="L285" t="s">
        <v>45</v>
      </c>
      <c r="M285">
        <v>5</v>
      </c>
      <c r="N285" s="6"/>
    </row>
    <row r="286" spans="11:14" x14ac:dyDescent="0.25">
      <c r="K286">
        <v>280</v>
      </c>
      <c r="L286" t="s">
        <v>45</v>
      </c>
      <c r="M286">
        <v>2</v>
      </c>
      <c r="N286" s="6"/>
    </row>
    <row r="287" spans="11:14" x14ac:dyDescent="0.25">
      <c r="K287">
        <v>281</v>
      </c>
      <c r="L287" t="s">
        <v>53</v>
      </c>
      <c r="M287">
        <v>6</v>
      </c>
      <c r="N287" s="6"/>
    </row>
    <row r="288" spans="11:14" x14ac:dyDescent="0.25">
      <c r="K288">
        <v>282</v>
      </c>
      <c r="L288" t="s">
        <v>45</v>
      </c>
      <c r="M288">
        <v>9</v>
      </c>
      <c r="N288" s="6"/>
    </row>
    <row r="289" spans="11:14" x14ac:dyDescent="0.25">
      <c r="K289">
        <v>283</v>
      </c>
      <c r="L289" t="s">
        <v>53</v>
      </c>
      <c r="M289">
        <v>7</v>
      </c>
      <c r="N289" s="6"/>
    </row>
    <row r="290" spans="11:14" x14ac:dyDescent="0.25">
      <c r="K290">
        <v>284</v>
      </c>
      <c r="L290" t="s">
        <v>45</v>
      </c>
      <c r="M290">
        <v>9</v>
      </c>
      <c r="N290" s="6"/>
    </row>
    <row r="291" spans="11:14" x14ac:dyDescent="0.25">
      <c r="K291">
        <v>285</v>
      </c>
      <c r="L291" t="s">
        <v>53</v>
      </c>
      <c r="M291">
        <v>6</v>
      </c>
      <c r="N291" s="6"/>
    </row>
    <row r="292" spans="11:14" x14ac:dyDescent="0.25">
      <c r="K292">
        <v>286</v>
      </c>
      <c r="L292" t="s">
        <v>45</v>
      </c>
      <c r="M292">
        <v>3</v>
      </c>
      <c r="N292" s="6"/>
    </row>
    <row r="293" spans="11:14" x14ac:dyDescent="0.25">
      <c r="K293">
        <v>287</v>
      </c>
      <c r="L293" t="s">
        <v>45</v>
      </c>
      <c r="M293">
        <v>11</v>
      </c>
      <c r="N293" s="6"/>
    </row>
    <row r="294" spans="11:14" x14ac:dyDescent="0.25">
      <c r="K294">
        <v>288</v>
      </c>
      <c r="L294" t="s">
        <v>53</v>
      </c>
      <c r="M294">
        <v>9</v>
      </c>
      <c r="N294" s="6"/>
    </row>
    <row r="295" spans="11:14" x14ac:dyDescent="0.25">
      <c r="K295">
        <v>289</v>
      </c>
      <c r="L295" t="s">
        <v>53</v>
      </c>
      <c r="M295">
        <v>6</v>
      </c>
      <c r="N295" s="6"/>
    </row>
    <row r="296" spans="11:14" x14ac:dyDescent="0.25">
      <c r="K296">
        <v>290</v>
      </c>
      <c r="L296" t="s">
        <v>53</v>
      </c>
      <c r="M296">
        <v>10</v>
      </c>
      <c r="N296" s="6"/>
    </row>
    <row r="297" spans="11:14" x14ac:dyDescent="0.25">
      <c r="K297">
        <v>291</v>
      </c>
      <c r="L297" t="s">
        <v>45</v>
      </c>
      <c r="M297">
        <v>8</v>
      </c>
      <c r="N297" s="6"/>
    </row>
    <row r="298" spans="11:14" x14ac:dyDescent="0.25">
      <c r="K298">
        <v>292</v>
      </c>
      <c r="L298" t="s">
        <v>45</v>
      </c>
      <c r="M298">
        <v>6</v>
      </c>
      <c r="N298" s="6"/>
    </row>
    <row r="299" spans="11:14" x14ac:dyDescent="0.25">
      <c r="K299">
        <v>293</v>
      </c>
      <c r="L299" t="s">
        <v>53</v>
      </c>
      <c r="M299">
        <v>5</v>
      </c>
      <c r="N299" s="6"/>
    </row>
    <row r="300" spans="11:14" x14ac:dyDescent="0.25">
      <c r="K300">
        <v>294</v>
      </c>
      <c r="L300" t="s">
        <v>53</v>
      </c>
      <c r="M300">
        <v>9</v>
      </c>
      <c r="N300" s="6"/>
    </row>
    <row r="301" spans="11:14" x14ac:dyDescent="0.25">
      <c r="K301">
        <v>295</v>
      </c>
      <c r="L301" t="s">
        <v>53</v>
      </c>
      <c r="M301">
        <v>7</v>
      </c>
      <c r="N301" s="6"/>
    </row>
    <row r="302" spans="11:14" x14ac:dyDescent="0.25">
      <c r="K302">
        <v>296</v>
      </c>
      <c r="L302" t="s">
        <v>45</v>
      </c>
      <c r="M302">
        <v>4</v>
      </c>
      <c r="N302" s="6"/>
    </row>
    <row r="303" spans="11:14" x14ac:dyDescent="0.25">
      <c r="K303">
        <v>297</v>
      </c>
      <c r="L303" t="s">
        <v>45</v>
      </c>
      <c r="M303">
        <v>5</v>
      </c>
      <c r="N303" s="6"/>
    </row>
    <row r="304" spans="11:14" x14ac:dyDescent="0.25">
      <c r="K304">
        <v>298</v>
      </c>
      <c r="L304" t="s">
        <v>45</v>
      </c>
      <c r="M304">
        <v>3</v>
      </c>
      <c r="N304" s="6"/>
    </row>
    <row r="305" spans="11:14" x14ac:dyDescent="0.25">
      <c r="K305">
        <v>299</v>
      </c>
      <c r="L305" t="s">
        <v>45</v>
      </c>
      <c r="M305">
        <v>9</v>
      </c>
      <c r="N305" s="6"/>
    </row>
    <row r="306" spans="11:14" x14ac:dyDescent="0.25">
      <c r="K306">
        <v>300</v>
      </c>
      <c r="L306" t="s">
        <v>45</v>
      </c>
      <c r="M306">
        <v>6</v>
      </c>
      <c r="N306" s="6"/>
    </row>
    <row r="307" spans="11:14" x14ac:dyDescent="0.25">
      <c r="K307">
        <v>301</v>
      </c>
      <c r="L307" t="s">
        <v>45</v>
      </c>
      <c r="M307">
        <v>4</v>
      </c>
      <c r="N307" s="6"/>
    </row>
    <row r="308" spans="11:14" x14ac:dyDescent="0.25">
      <c r="K308">
        <v>302</v>
      </c>
      <c r="L308" t="s">
        <v>53</v>
      </c>
      <c r="M308">
        <v>10</v>
      </c>
      <c r="N308" s="6"/>
    </row>
    <row r="309" spans="11:14" x14ac:dyDescent="0.25">
      <c r="K309">
        <v>303</v>
      </c>
      <c r="L309" t="s">
        <v>45</v>
      </c>
      <c r="M309">
        <v>2</v>
      </c>
      <c r="N309" s="6"/>
    </row>
    <row r="310" spans="11:14" x14ac:dyDescent="0.25">
      <c r="K310">
        <v>304</v>
      </c>
      <c r="L310" t="s">
        <v>53</v>
      </c>
      <c r="M310">
        <v>9</v>
      </c>
      <c r="N310" s="6"/>
    </row>
    <row r="311" spans="11:14" x14ac:dyDescent="0.25">
      <c r="K311">
        <v>305</v>
      </c>
      <c r="L311" t="s">
        <v>45</v>
      </c>
      <c r="M311">
        <v>5</v>
      </c>
      <c r="N311" s="6"/>
    </row>
    <row r="312" spans="11:14" x14ac:dyDescent="0.25">
      <c r="K312">
        <v>306</v>
      </c>
      <c r="L312" t="s">
        <v>53</v>
      </c>
      <c r="M312">
        <v>6</v>
      </c>
      <c r="N312" s="6"/>
    </row>
    <row r="313" spans="11:14" x14ac:dyDescent="0.25">
      <c r="K313">
        <v>307</v>
      </c>
      <c r="L313" t="s">
        <v>53</v>
      </c>
      <c r="M313">
        <v>4</v>
      </c>
      <c r="N313" s="6"/>
    </row>
    <row r="314" spans="11:14" x14ac:dyDescent="0.25">
      <c r="K314">
        <v>308</v>
      </c>
      <c r="L314" t="s">
        <v>53</v>
      </c>
      <c r="M314">
        <v>7</v>
      </c>
      <c r="N314" s="6"/>
    </row>
    <row r="315" spans="11:14" x14ac:dyDescent="0.25">
      <c r="K315">
        <v>309</v>
      </c>
      <c r="L315" t="s">
        <v>53</v>
      </c>
      <c r="M315">
        <v>7</v>
      </c>
      <c r="N315" s="6"/>
    </row>
    <row r="316" spans="11:14" x14ac:dyDescent="0.25">
      <c r="K316">
        <v>310</v>
      </c>
      <c r="L316" t="s">
        <v>53</v>
      </c>
      <c r="M316">
        <v>8</v>
      </c>
      <c r="N316" s="6"/>
    </row>
    <row r="317" spans="11:14" x14ac:dyDescent="0.25">
      <c r="K317">
        <v>311</v>
      </c>
      <c r="L317" t="s">
        <v>45</v>
      </c>
      <c r="M317">
        <v>6</v>
      </c>
      <c r="N317" s="6"/>
    </row>
    <row r="318" spans="11:14" x14ac:dyDescent="0.25">
      <c r="K318">
        <v>312</v>
      </c>
      <c r="L318" t="s">
        <v>53</v>
      </c>
      <c r="M318">
        <v>6</v>
      </c>
      <c r="N318" s="6"/>
    </row>
    <row r="319" spans="11:14" x14ac:dyDescent="0.25">
      <c r="K319">
        <v>313</v>
      </c>
      <c r="L319" t="s">
        <v>53</v>
      </c>
      <c r="M319">
        <v>10</v>
      </c>
      <c r="N319" s="6"/>
    </row>
    <row r="320" spans="11:14" x14ac:dyDescent="0.25">
      <c r="K320">
        <v>314</v>
      </c>
      <c r="L320" t="s">
        <v>53</v>
      </c>
      <c r="M320">
        <v>9</v>
      </c>
      <c r="N320" s="6"/>
    </row>
    <row r="321" spans="11:14" x14ac:dyDescent="0.25">
      <c r="K321">
        <v>315</v>
      </c>
      <c r="L321" t="s">
        <v>53</v>
      </c>
      <c r="M321">
        <v>8</v>
      </c>
      <c r="N321" s="6"/>
    </row>
    <row r="322" spans="11:14" x14ac:dyDescent="0.25">
      <c r="K322">
        <v>316</v>
      </c>
      <c r="L322" t="s">
        <v>53</v>
      </c>
      <c r="M322">
        <v>5</v>
      </c>
      <c r="N322" s="6"/>
    </row>
    <row r="323" spans="11:14" x14ac:dyDescent="0.25">
      <c r="K323">
        <v>317</v>
      </c>
      <c r="L323" t="s">
        <v>53</v>
      </c>
      <c r="M323">
        <v>5</v>
      </c>
      <c r="N323" s="6"/>
    </row>
    <row r="324" spans="11:14" x14ac:dyDescent="0.25">
      <c r="K324">
        <v>318</v>
      </c>
      <c r="L324" t="s">
        <v>45</v>
      </c>
      <c r="M324">
        <v>11</v>
      </c>
      <c r="N324" s="6"/>
    </row>
    <row r="325" spans="11:14" x14ac:dyDescent="0.25">
      <c r="K325">
        <v>319</v>
      </c>
      <c r="L325" t="s">
        <v>45</v>
      </c>
      <c r="M325">
        <v>3</v>
      </c>
      <c r="N325" s="6"/>
    </row>
    <row r="326" spans="11:14" x14ac:dyDescent="0.25">
      <c r="K326">
        <v>320</v>
      </c>
      <c r="L326" t="s">
        <v>53</v>
      </c>
      <c r="M326">
        <v>6</v>
      </c>
      <c r="N326" s="6"/>
    </row>
    <row r="327" spans="11:14" x14ac:dyDescent="0.25">
      <c r="K327">
        <v>321</v>
      </c>
      <c r="L327" t="s">
        <v>45</v>
      </c>
      <c r="M327">
        <v>8</v>
      </c>
      <c r="N327" s="6"/>
    </row>
    <row r="328" spans="11:14" x14ac:dyDescent="0.25">
      <c r="K328">
        <v>322</v>
      </c>
      <c r="L328" t="s">
        <v>53</v>
      </c>
      <c r="M328">
        <v>4</v>
      </c>
      <c r="N328" s="6"/>
    </row>
    <row r="329" spans="11:14" x14ac:dyDescent="0.25">
      <c r="K329">
        <v>323</v>
      </c>
      <c r="L329" t="s">
        <v>53</v>
      </c>
      <c r="M329">
        <v>8</v>
      </c>
      <c r="N329" s="6"/>
    </row>
    <row r="330" spans="11:14" x14ac:dyDescent="0.25">
      <c r="K330">
        <v>324</v>
      </c>
      <c r="L330" t="s">
        <v>53</v>
      </c>
      <c r="M330">
        <v>8</v>
      </c>
      <c r="N330" s="6"/>
    </row>
    <row r="331" spans="11:14" x14ac:dyDescent="0.25">
      <c r="K331">
        <v>325</v>
      </c>
      <c r="L331" t="s">
        <v>45</v>
      </c>
      <c r="M331">
        <v>9</v>
      </c>
      <c r="N331" s="6"/>
    </row>
    <row r="332" spans="11:14" x14ac:dyDescent="0.25">
      <c r="K332">
        <v>326</v>
      </c>
      <c r="L332" t="s">
        <v>45</v>
      </c>
      <c r="M332">
        <v>3</v>
      </c>
      <c r="N332" s="6"/>
    </row>
    <row r="333" spans="11:14" x14ac:dyDescent="0.25">
      <c r="K333">
        <v>327</v>
      </c>
      <c r="L333" t="s">
        <v>53</v>
      </c>
      <c r="M333">
        <v>10</v>
      </c>
      <c r="N333" s="6"/>
    </row>
    <row r="334" spans="11:14" x14ac:dyDescent="0.25">
      <c r="K334">
        <v>328</v>
      </c>
      <c r="L334" t="s">
        <v>53</v>
      </c>
      <c r="M334">
        <v>10</v>
      </c>
      <c r="N334" s="6"/>
    </row>
    <row r="335" spans="11:14" x14ac:dyDescent="0.25">
      <c r="K335">
        <v>329</v>
      </c>
      <c r="L335" t="s">
        <v>53</v>
      </c>
      <c r="M335">
        <v>7</v>
      </c>
      <c r="N335" s="6"/>
    </row>
    <row r="336" spans="11:14" x14ac:dyDescent="0.25">
      <c r="K336">
        <v>330</v>
      </c>
      <c r="L336" t="s">
        <v>53</v>
      </c>
      <c r="M336">
        <v>7</v>
      </c>
      <c r="N336" s="6"/>
    </row>
    <row r="337" spans="11:14" x14ac:dyDescent="0.25">
      <c r="K337">
        <v>331</v>
      </c>
      <c r="L337" t="s">
        <v>45</v>
      </c>
      <c r="M337">
        <v>5</v>
      </c>
      <c r="N337" s="6"/>
    </row>
    <row r="338" spans="11:14" x14ac:dyDescent="0.25">
      <c r="K338">
        <v>332</v>
      </c>
      <c r="L338" t="s">
        <v>45</v>
      </c>
      <c r="M338">
        <v>8</v>
      </c>
      <c r="N338" s="6"/>
    </row>
    <row r="339" spans="11:14" x14ac:dyDescent="0.25">
      <c r="K339">
        <v>333</v>
      </c>
      <c r="L339" t="s">
        <v>53</v>
      </c>
      <c r="M339">
        <v>7</v>
      </c>
      <c r="N339" s="6"/>
    </row>
    <row r="340" spans="11:14" x14ac:dyDescent="0.25">
      <c r="K340">
        <v>334</v>
      </c>
      <c r="L340" t="s">
        <v>53</v>
      </c>
      <c r="M340">
        <v>9</v>
      </c>
      <c r="N340" s="6"/>
    </row>
    <row r="341" spans="11:14" x14ac:dyDescent="0.25">
      <c r="K341">
        <v>335</v>
      </c>
      <c r="L341" t="s">
        <v>53</v>
      </c>
      <c r="M341">
        <v>7</v>
      </c>
      <c r="N341" s="6"/>
    </row>
    <row r="342" spans="11:14" x14ac:dyDescent="0.25">
      <c r="K342">
        <v>336</v>
      </c>
      <c r="L342" t="s">
        <v>45</v>
      </c>
      <c r="M342">
        <v>4</v>
      </c>
      <c r="N342" s="6"/>
    </row>
    <row r="343" spans="11:14" x14ac:dyDescent="0.25">
      <c r="K343">
        <v>337</v>
      </c>
      <c r="L343" t="s">
        <v>53</v>
      </c>
      <c r="M343">
        <v>4</v>
      </c>
      <c r="N343" s="6"/>
    </row>
    <row r="344" spans="11:14" x14ac:dyDescent="0.25">
      <c r="K344">
        <v>338</v>
      </c>
      <c r="L344" t="s">
        <v>53</v>
      </c>
      <c r="M344">
        <v>7</v>
      </c>
      <c r="N344" s="6"/>
    </row>
    <row r="345" spans="11:14" x14ac:dyDescent="0.25">
      <c r="K345">
        <v>339</v>
      </c>
      <c r="L345" t="s">
        <v>53</v>
      </c>
      <c r="M345">
        <v>7</v>
      </c>
      <c r="N345" s="6"/>
    </row>
    <row r="346" spans="11:14" x14ac:dyDescent="0.25">
      <c r="K346">
        <v>340</v>
      </c>
      <c r="L346" t="s">
        <v>45</v>
      </c>
      <c r="M346">
        <v>3</v>
      </c>
      <c r="N346" s="6"/>
    </row>
    <row r="347" spans="11:14" x14ac:dyDescent="0.25">
      <c r="K347">
        <v>341</v>
      </c>
      <c r="L347" t="s">
        <v>45</v>
      </c>
      <c r="M347">
        <v>4</v>
      </c>
      <c r="N347" s="6"/>
    </row>
    <row r="348" spans="11:14" x14ac:dyDescent="0.25">
      <c r="K348">
        <v>342</v>
      </c>
      <c r="L348" t="s">
        <v>53</v>
      </c>
      <c r="M348">
        <v>8</v>
      </c>
      <c r="N348" s="6"/>
    </row>
    <row r="349" spans="11:14" x14ac:dyDescent="0.25">
      <c r="K349">
        <v>343</v>
      </c>
      <c r="L349" t="s">
        <v>45</v>
      </c>
      <c r="M349">
        <v>9</v>
      </c>
      <c r="N349" s="6"/>
    </row>
    <row r="350" spans="11:14" x14ac:dyDescent="0.25">
      <c r="K350">
        <v>344</v>
      </c>
      <c r="L350" t="s">
        <v>45</v>
      </c>
      <c r="M350">
        <v>9</v>
      </c>
      <c r="N350" s="6"/>
    </row>
    <row r="351" spans="11:14" x14ac:dyDescent="0.25">
      <c r="K351">
        <v>345</v>
      </c>
      <c r="L351" t="s">
        <v>45</v>
      </c>
      <c r="M351">
        <v>12</v>
      </c>
      <c r="N351" s="6"/>
    </row>
    <row r="352" spans="11:14" x14ac:dyDescent="0.25">
      <c r="K352">
        <v>346</v>
      </c>
      <c r="L352" t="s">
        <v>53</v>
      </c>
      <c r="M352">
        <v>5</v>
      </c>
      <c r="N352" s="6"/>
    </row>
    <row r="353" spans="11:14" x14ac:dyDescent="0.25">
      <c r="K353">
        <v>347</v>
      </c>
      <c r="L353" t="s">
        <v>45</v>
      </c>
      <c r="M353">
        <v>4</v>
      </c>
      <c r="N353" s="6"/>
    </row>
    <row r="354" spans="11:14" x14ac:dyDescent="0.25">
      <c r="K354">
        <v>348</v>
      </c>
      <c r="L354" t="s">
        <v>53</v>
      </c>
      <c r="M354">
        <v>8</v>
      </c>
      <c r="N354" s="6"/>
    </row>
    <row r="355" spans="11:14" x14ac:dyDescent="0.25">
      <c r="K355">
        <v>349</v>
      </c>
      <c r="L355" t="s">
        <v>53</v>
      </c>
      <c r="M355">
        <v>4</v>
      </c>
      <c r="N355" s="6"/>
    </row>
    <row r="356" spans="11:14" x14ac:dyDescent="0.25">
      <c r="K356">
        <v>350</v>
      </c>
      <c r="L356" t="s">
        <v>53</v>
      </c>
      <c r="M356">
        <v>5</v>
      </c>
      <c r="N356" s="6"/>
    </row>
    <row r="357" spans="11:14" x14ac:dyDescent="0.25">
      <c r="K357">
        <v>351</v>
      </c>
      <c r="L357" t="s">
        <v>53</v>
      </c>
      <c r="M357">
        <v>7</v>
      </c>
      <c r="N357" s="6"/>
    </row>
    <row r="358" spans="11:14" x14ac:dyDescent="0.25">
      <c r="K358">
        <v>352</v>
      </c>
      <c r="L358" t="s">
        <v>53</v>
      </c>
      <c r="M358">
        <v>8</v>
      </c>
      <c r="N358" s="6"/>
    </row>
    <row r="359" spans="11:14" x14ac:dyDescent="0.25">
      <c r="K359">
        <v>353</v>
      </c>
      <c r="L359" t="s">
        <v>53</v>
      </c>
      <c r="M359">
        <v>8</v>
      </c>
      <c r="N359" s="6"/>
    </row>
    <row r="360" spans="11:14" x14ac:dyDescent="0.25">
      <c r="K360">
        <v>354</v>
      </c>
      <c r="L360" t="s">
        <v>53</v>
      </c>
      <c r="M360">
        <v>10</v>
      </c>
      <c r="N360" s="6"/>
    </row>
    <row r="361" spans="11:14" x14ac:dyDescent="0.25">
      <c r="K361">
        <v>355</v>
      </c>
      <c r="L361" t="s">
        <v>53</v>
      </c>
      <c r="M361">
        <v>5</v>
      </c>
      <c r="N361" s="6"/>
    </row>
    <row r="362" spans="11:14" x14ac:dyDescent="0.25">
      <c r="K362">
        <v>356</v>
      </c>
      <c r="L362" t="s">
        <v>53</v>
      </c>
      <c r="M362">
        <v>7</v>
      </c>
      <c r="N362" s="6"/>
    </row>
    <row r="363" spans="11:14" x14ac:dyDescent="0.25">
      <c r="K363">
        <v>357</v>
      </c>
      <c r="L363" t="s">
        <v>45</v>
      </c>
      <c r="M363">
        <v>4</v>
      </c>
      <c r="N363" s="6"/>
    </row>
    <row r="364" spans="11:14" x14ac:dyDescent="0.25">
      <c r="K364">
        <v>358</v>
      </c>
      <c r="L364" t="s">
        <v>45</v>
      </c>
      <c r="M364">
        <v>9</v>
      </c>
      <c r="N364" s="6"/>
    </row>
    <row r="365" spans="11:14" x14ac:dyDescent="0.25">
      <c r="K365">
        <v>359</v>
      </c>
      <c r="L365" t="s">
        <v>45</v>
      </c>
      <c r="M365">
        <v>4</v>
      </c>
      <c r="N365" s="6"/>
    </row>
    <row r="366" spans="11:14" x14ac:dyDescent="0.25">
      <c r="K366">
        <v>360</v>
      </c>
      <c r="L366" t="s">
        <v>45</v>
      </c>
      <c r="M366">
        <v>12</v>
      </c>
      <c r="N366" s="6"/>
    </row>
    <row r="367" spans="11:14" x14ac:dyDescent="0.25">
      <c r="K367">
        <v>361</v>
      </c>
      <c r="L367" t="s">
        <v>53</v>
      </c>
      <c r="M367">
        <v>6</v>
      </c>
      <c r="N367" s="6"/>
    </row>
    <row r="368" spans="11:14" x14ac:dyDescent="0.25">
      <c r="K368">
        <v>362</v>
      </c>
      <c r="L368" t="s">
        <v>45</v>
      </c>
      <c r="M368">
        <v>8</v>
      </c>
      <c r="N368" s="6"/>
    </row>
    <row r="369" spans="11:14" x14ac:dyDescent="0.25">
      <c r="K369">
        <v>363</v>
      </c>
      <c r="L369" t="s">
        <v>53</v>
      </c>
      <c r="M369">
        <v>4</v>
      </c>
      <c r="N369" s="6"/>
    </row>
    <row r="370" spans="11:14" x14ac:dyDescent="0.25">
      <c r="K370">
        <v>364</v>
      </c>
      <c r="L370" t="s">
        <v>45</v>
      </c>
      <c r="M370">
        <v>5</v>
      </c>
      <c r="N370" s="6"/>
    </row>
    <row r="371" spans="11:14" x14ac:dyDescent="0.25">
      <c r="K371">
        <v>365</v>
      </c>
      <c r="L371" t="s">
        <v>45</v>
      </c>
      <c r="M371">
        <v>6</v>
      </c>
      <c r="N371" s="6"/>
    </row>
    <row r="372" spans="11:14" x14ac:dyDescent="0.25">
      <c r="K372">
        <v>366</v>
      </c>
      <c r="L372" t="s">
        <v>45</v>
      </c>
      <c r="M372">
        <v>4</v>
      </c>
      <c r="N372" s="6"/>
    </row>
    <row r="373" spans="11:14" x14ac:dyDescent="0.25">
      <c r="K373">
        <v>367</v>
      </c>
      <c r="L373" t="s">
        <v>45</v>
      </c>
      <c r="M373">
        <v>5</v>
      </c>
      <c r="N373" s="6"/>
    </row>
    <row r="374" spans="11:14" x14ac:dyDescent="0.25">
      <c r="K374">
        <v>368</v>
      </c>
      <c r="L374" t="s">
        <v>53</v>
      </c>
      <c r="M374">
        <v>7</v>
      </c>
      <c r="N374" s="6"/>
    </row>
    <row r="375" spans="11:14" x14ac:dyDescent="0.25">
      <c r="K375">
        <v>369</v>
      </c>
      <c r="L375" t="s">
        <v>53</v>
      </c>
      <c r="M375">
        <v>6</v>
      </c>
      <c r="N375" s="6"/>
    </row>
    <row r="376" spans="11:14" x14ac:dyDescent="0.25">
      <c r="K376">
        <v>370</v>
      </c>
      <c r="L376" t="s">
        <v>45</v>
      </c>
      <c r="M376">
        <v>8</v>
      </c>
      <c r="N376" s="6"/>
    </row>
    <row r="377" spans="11:14" x14ac:dyDescent="0.25">
      <c r="K377">
        <v>371</v>
      </c>
      <c r="L377" t="s">
        <v>45</v>
      </c>
      <c r="M377">
        <v>10</v>
      </c>
      <c r="N377" s="6"/>
    </row>
    <row r="378" spans="11:14" x14ac:dyDescent="0.25">
      <c r="K378">
        <v>372</v>
      </c>
      <c r="L378" t="s">
        <v>53</v>
      </c>
      <c r="M378">
        <v>7</v>
      </c>
      <c r="N378" s="6"/>
    </row>
    <row r="379" spans="11:14" x14ac:dyDescent="0.25">
      <c r="K379">
        <v>373</v>
      </c>
      <c r="L379" t="s">
        <v>53</v>
      </c>
      <c r="M379">
        <v>7</v>
      </c>
      <c r="N379" s="6"/>
    </row>
    <row r="380" spans="11:14" x14ac:dyDescent="0.25">
      <c r="K380">
        <v>374</v>
      </c>
      <c r="L380" t="s">
        <v>45</v>
      </c>
      <c r="M380">
        <v>6</v>
      </c>
      <c r="N380" s="6"/>
    </row>
    <row r="381" spans="11:14" x14ac:dyDescent="0.25">
      <c r="K381">
        <v>375</v>
      </c>
      <c r="L381" t="s">
        <v>45</v>
      </c>
      <c r="M381">
        <v>9</v>
      </c>
      <c r="N381" s="6"/>
    </row>
    <row r="382" spans="11:14" x14ac:dyDescent="0.25">
      <c r="K382">
        <v>376</v>
      </c>
      <c r="L382" t="s">
        <v>45</v>
      </c>
      <c r="M382">
        <v>11</v>
      </c>
      <c r="N382" s="6"/>
    </row>
    <row r="383" spans="11:14" x14ac:dyDescent="0.25">
      <c r="K383">
        <v>377</v>
      </c>
      <c r="L383" t="s">
        <v>53</v>
      </c>
      <c r="M383">
        <v>5</v>
      </c>
      <c r="N383" s="6"/>
    </row>
    <row r="384" spans="11:14" x14ac:dyDescent="0.25">
      <c r="K384">
        <v>378</v>
      </c>
      <c r="L384" t="s">
        <v>45</v>
      </c>
      <c r="M384">
        <v>11</v>
      </c>
      <c r="N384" s="6"/>
    </row>
    <row r="385" spans="11:14" x14ac:dyDescent="0.25">
      <c r="K385">
        <v>379</v>
      </c>
      <c r="L385" t="s">
        <v>53</v>
      </c>
      <c r="M385">
        <v>5</v>
      </c>
      <c r="N385" s="6"/>
    </row>
    <row r="386" spans="11:14" x14ac:dyDescent="0.25">
      <c r="K386">
        <v>380</v>
      </c>
      <c r="L386" t="s">
        <v>45</v>
      </c>
      <c r="M386">
        <v>6</v>
      </c>
      <c r="N386" s="6"/>
    </row>
    <row r="387" spans="11:14" x14ac:dyDescent="0.25">
      <c r="K387">
        <v>381</v>
      </c>
      <c r="L387" t="s">
        <v>53</v>
      </c>
      <c r="M387">
        <v>5</v>
      </c>
      <c r="N387" s="6"/>
    </row>
    <row r="388" spans="11:14" x14ac:dyDescent="0.25">
      <c r="K388">
        <v>382</v>
      </c>
      <c r="L388" t="s">
        <v>53</v>
      </c>
      <c r="M388">
        <v>8</v>
      </c>
      <c r="N388" s="6"/>
    </row>
    <row r="389" spans="11:14" x14ac:dyDescent="0.25">
      <c r="K389">
        <v>383</v>
      </c>
      <c r="L389" t="s">
        <v>45</v>
      </c>
      <c r="M389">
        <v>3</v>
      </c>
      <c r="N389" s="6"/>
    </row>
    <row r="390" spans="11:14" x14ac:dyDescent="0.25">
      <c r="K390">
        <v>384</v>
      </c>
      <c r="L390" t="s">
        <v>45</v>
      </c>
      <c r="M390">
        <v>11</v>
      </c>
      <c r="N390" s="6"/>
    </row>
    <row r="391" spans="11:14" x14ac:dyDescent="0.25">
      <c r="K391">
        <v>385</v>
      </c>
      <c r="L391" t="s">
        <v>53</v>
      </c>
      <c r="M391">
        <v>8</v>
      </c>
      <c r="N391" s="6"/>
    </row>
    <row r="392" spans="11:14" x14ac:dyDescent="0.25">
      <c r="K392">
        <v>386</v>
      </c>
      <c r="L392" t="s">
        <v>53</v>
      </c>
      <c r="M392">
        <v>8</v>
      </c>
      <c r="N392" s="6"/>
    </row>
    <row r="393" spans="11:14" x14ac:dyDescent="0.25">
      <c r="K393">
        <v>387</v>
      </c>
      <c r="L393" t="s">
        <v>53</v>
      </c>
      <c r="M393">
        <v>7</v>
      </c>
      <c r="N393" s="6"/>
    </row>
    <row r="394" spans="11:14" x14ac:dyDescent="0.25">
      <c r="K394">
        <v>388</v>
      </c>
      <c r="L394" t="s">
        <v>53</v>
      </c>
      <c r="M394">
        <v>7</v>
      </c>
      <c r="N394" s="6"/>
    </row>
    <row r="395" spans="11:14" x14ac:dyDescent="0.25">
      <c r="K395">
        <v>389</v>
      </c>
      <c r="L395" t="s">
        <v>53</v>
      </c>
      <c r="M395">
        <v>6</v>
      </c>
      <c r="N395" s="6"/>
    </row>
    <row r="396" spans="11:14" x14ac:dyDescent="0.25">
      <c r="K396">
        <v>390</v>
      </c>
      <c r="L396" t="s">
        <v>53</v>
      </c>
      <c r="M396">
        <v>7</v>
      </c>
      <c r="N396" s="6"/>
    </row>
    <row r="397" spans="11:14" x14ac:dyDescent="0.25">
      <c r="K397">
        <v>391</v>
      </c>
      <c r="L397" t="s">
        <v>53</v>
      </c>
      <c r="M397">
        <v>7</v>
      </c>
      <c r="N397" s="6"/>
    </row>
    <row r="398" spans="11:14" x14ac:dyDescent="0.25">
      <c r="K398">
        <v>392</v>
      </c>
      <c r="L398" t="s">
        <v>45</v>
      </c>
      <c r="M398">
        <v>9</v>
      </c>
      <c r="N398" s="6"/>
    </row>
    <row r="399" spans="11:14" x14ac:dyDescent="0.25">
      <c r="K399">
        <v>393</v>
      </c>
      <c r="L399" t="s">
        <v>45</v>
      </c>
      <c r="M399">
        <v>2</v>
      </c>
      <c r="N399" s="6"/>
    </row>
    <row r="400" spans="11:14" x14ac:dyDescent="0.25">
      <c r="K400">
        <v>394</v>
      </c>
      <c r="L400" t="s">
        <v>53</v>
      </c>
      <c r="M400">
        <v>7</v>
      </c>
      <c r="N400" s="6"/>
    </row>
    <row r="401" spans="11:14" x14ac:dyDescent="0.25">
      <c r="K401">
        <v>395</v>
      </c>
      <c r="L401" t="s">
        <v>45</v>
      </c>
      <c r="M401">
        <v>10</v>
      </c>
      <c r="N401" s="6"/>
    </row>
    <row r="402" spans="11:14" x14ac:dyDescent="0.25">
      <c r="K402">
        <v>396</v>
      </c>
      <c r="L402" t="s">
        <v>53</v>
      </c>
      <c r="M402">
        <v>7</v>
      </c>
      <c r="N402" s="6"/>
    </row>
    <row r="403" spans="11:14" x14ac:dyDescent="0.25">
      <c r="K403">
        <v>397</v>
      </c>
      <c r="L403" t="s">
        <v>53</v>
      </c>
      <c r="M403">
        <v>8</v>
      </c>
      <c r="N403" s="6"/>
    </row>
    <row r="404" spans="11:14" x14ac:dyDescent="0.25">
      <c r="K404">
        <v>398</v>
      </c>
      <c r="L404" t="s">
        <v>45</v>
      </c>
      <c r="M404">
        <v>3</v>
      </c>
      <c r="N404" s="6"/>
    </row>
    <row r="405" spans="11:14" x14ac:dyDescent="0.25">
      <c r="K405">
        <v>399</v>
      </c>
      <c r="L405" t="s">
        <v>53</v>
      </c>
      <c r="M405">
        <v>7</v>
      </c>
      <c r="N405" s="6"/>
    </row>
    <row r="406" spans="11:14" x14ac:dyDescent="0.25">
      <c r="K406">
        <v>400</v>
      </c>
      <c r="L406" t="s">
        <v>45</v>
      </c>
      <c r="M406">
        <v>2</v>
      </c>
      <c r="N406" s="6"/>
    </row>
    <row r="407" spans="11:14" x14ac:dyDescent="0.25">
      <c r="K407">
        <v>401</v>
      </c>
      <c r="L407" t="s">
        <v>53</v>
      </c>
      <c r="M407">
        <v>6</v>
      </c>
      <c r="N407" s="6"/>
    </row>
    <row r="408" spans="11:14" x14ac:dyDescent="0.25">
      <c r="K408">
        <v>402</v>
      </c>
      <c r="L408" t="s">
        <v>53</v>
      </c>
      <c r="M408">
        <v>6</v>
      </c>
      <c r="N408" s="6"/>
    </row>
    <row r="409" spans="11:14" x14ac:dyDescent="0.25">
      <c r="K409">
        <v>403</v>
      </c>
      <c r="L409" t="s">
        <v>53</v>
      </c>
      <c r="M409">
        <v>9</v>
      </c>
      <c r="N409" s="6"/>
    </row>
    <row r="410" spans="11:14" x14ac:dyDescent="0.25">
      <c r="K410">
        <v>404</v>
      </c>
      <c r="L410" t="s">
        <v>45</v>
      </c>
      <c r="M410">
        <v>10</v>
      </c>
      <c r="N410" s="6"/>
    </row>
    <row r="411" spans="11:14" x14ac:dyDescent="0.25">
      <c r="K411">
        <v>405</v>
      </c>
      <c r="L411" t="s">
        <v>53</v>
      </c>
      <c r="M411">
        <v>6</v>
      </c>
      <c r="N411" s="6"/>
    </row>
    <row r="412" spans="11:14" x14ac:dyDescent="0.25">
      <c r="K412">
        <v>406</v>
      </c>
      <c r="L412" t="s">
        <v>53</v>
      </c>
      <c r="M412">
        <v>7</v>
      </c>
      <c r="N412" s="6"/>
    </row>
    <row r="413" spans="11:14" x14ac:dyDescent="0.25">
      <c r="K413">
        <v>407</v>
      </c>
      <c r="L413" t="s">
        <v>53</v>
      </c>
      <c r="M413">
        <v>6</v>
      </c>
      <c r="N413" s="6"/>
    </row>
    <row r="414" spans="11:14" x14ac:dyDescent="0.25">
      <c r="K414">
        <v>408</v>
      </c>
      <c r="L414" t="s">
        <v>45</v>
      </c>
      <c r="M414">
        <v>12</v>
      </c>
      <c r="N414" s="6"/>
    </row>
    <row r="415" spans="11:14" x14ac:dyDescent="0.25">
      <c r="K415">
        <v>409</v>
      </c>
      <c r="L415" t="s">
        <v>53</v>
      </c>
      <c r="M415">
        <v>7</v>
      </c>
      <c r="N415" s="6"/>
    </row>
    <row r="416" spans="11:14" x14ac:dyDescent="0.25">
      <c r="K416">
        <v>410</v>
      </c>
      <c r="L416" t="s">
        <v>45</v>
      </c>
      <c r="M416">
        <v>9</v>
      </c>
      <c r="N416" s="6"/>
    </row>
    <row r="417" spans="11:14" x14ac:dyDescent="0.25">
      <c r="K417">
        <v>411</v>
      </c>
      <c r="L417" t="s">
        <v>45</v>
      </c>
      <c r="M417">
        <v>10</v>
      </c>
      <c r="N417" s="6"/>
    </row>
    <row r="418" spans="11:14" x14ac:dyDescent="0.25">
      <c r="K418">
        <v>412</v>
      </c>
      <c r="L418" t="s">
        <v>53</v>
      </c>
      <c r="M418">
        <v>9</v>
      </c>
      <c r="N418" s="6"/>
    </row>
    <row r="419" spans="11:14" x14ac:dyDescent="0.25">
      <c r="K419">
        <v>413</v>
      </c>
      <c r="L419" t="s">
        <v>53</v>
      </c>
      <c r="M419">
        <v>8</v>
      </c>
      <c r="N419" s="6"/>
    </row>
    <row r="420" spans="11:14" x14ac:dyDescent="0.25">
      <c r="K420">
        <v>414</v>
      </c>
      <c r="L420" t="s">
        <v>53</v>
      </c>
      <c r="M420">
        <v>8</v>
      </c>
      <c r="N420" s="6"/>
    </row>
    <row r="421" spans="11:14" x14ac:dyDescent="0.25">
      <c r="K421">
        <v>415</v>
      </c>
      <c r="L421" t="s">
        <v>53</v>
      </c>
      <c r="M421">
        <v>5</v>
      </c>
      <c r="N421" s="6"/>
    </row>
    <row r="422" spans="11:14" x14ac:dyDescent="0.25">
      <c r="K422">
        <v>416</v>
      </c>
      <c r="L422" t="s">
        <v>45</v>
      </c>
      <c r="M422">
        <v>9</v>
      </c>
      <c r="N422" s="6"/>
    </row>
    <row r="423" spans="11:14" x14ac:dyDescent="0.25">
      <c r="K423">
        <v>417</v>
      </c>
      <c r="L423" t="s">
        <v>45</v>
      </c>
      <c r="M423">
        <v>5</v>
      </c>
      <c r="N423" s="6"/>
    </row>
    <row r="424" spans="11:14" x14ac:dyDescent="0.25">
      <c r="K424">
        <v>418</v>
      </c>
      <c r="L424" t="s">
        <v>53</v>
      </c>
      <c r="M424">
        <v>7</v>
      </c>
      <c r="N424" s="6"/>
    </row>
    <row r="425" spans="11:14" x14ac:dyDescent="0.25">
      <c r="K425">
        <v>419</v>
      </c>
      <c r="L425" t="s">
        <v>45</v>
      </c>
      <c r="M425">
        <v>11</v>
      </c>
      <c r="N425" s="6"/>
    </row>
    <row r="426" spans="11:14" x14ac:dyDescent="0.25">
      <c r="K426">
        <v>420</v>
      </c>
      <c r="L426" t="s">
        <v>53</v>
      </c>
      <c r="M426">
        <v>7</v>
      </c>
      <c r="N426" s="6"/>
    </row>
    <row r="427" spans="11:14" x14ac:dyDescent="0.25">
      <c r="K427">
        <v>421</v>
      </c>
      <c r="L427" t="s">
        <v>53</v>
      </c>
      <c r="M427">
        <v>6</v>
      </c>
      <c r="N427" s="6"/>
    </row>
    <row r="428" spans="11:14" x14ac:dyDescent="0.25">
      <c r="K428">
        <v>422</v>
      </c>
      <c r="L428" t="s">
        <v>53</v>
      </c>
      <c r="M428">
        <v>7</v>
      </c>
      <c r="N428" s="6"/>
    </row>
    <row r="429" spans="11:14" x14ac:dyDescent="0.25">
      <c r="K429">
        <v>423</v>
      </c>
      <c r="L429" t="s">
        <v>53</v>
      </c>
      <c r="M429">
        <v>6</v>
      </c>
      <c r="N429" s="6"/>
    </row>
    <row r="430" spans="11:14" x14ac:dyDescent="0.25">
      <c r="K430">
        <v>424</v>
      </c>
      <c r="L430" t="s">
        <v>53</v>
      </c>
      <c r="M430">
        <v>7</v>
      </c>
      <c r="N430" s="6"/>
    </row>
    <row r="431" spans="11:14" x14ac:dyDescent="0.25">
      <c r="K431">
        <v>425</v>
      </c>
      <c r="L431" t="s">
        <v>53</v>
      </c>
      <c r="M431">
        <v>6</v>
      </c>
      <c r="N431" s="6"/>
    </row>
    <row r="432" spans="11:14" x14ac:dyDescent="0.25">
      <c r="K432">
        <v>426</v>
      </c>
      <c r="L432" t="s">
        <v>53</v>
      </c>
      <c r="M432">
        <v>6</v>
      </c>
      <c r="N432" s="6"/>
    </row>
    <row r="433" spans="11:14" x14ac:dyDescent="0.25">
      <c r="K433">
        <v>427</v>
      </c>
      <c r="L433" t="s">
        <v>45</v>
      </c>
      <c r="M433">
        <v>5</v>
      </c>
      <c r="N433" s="6"/>
    </row>
    <row r="434" spans="11:14" x14ac:dyDescent="0.25">
      <c r="K434">
        <v>428</v>
      </c>
      <c r="L434" t="s">
        <v>53</v>
      </c>
      <c r="M434">
        <v>7</v>
      </c>
      <c r="N434" s="6"/>
    </row>
    <row r="435" spans="11:14" x14ac:dyDescent="0.25">
      <c r="K435">
        <v>429</v>
      </c>
      <c r="L435" t="s">
        <v>53</v>
      </c>
      <c r="M435">
        <v>6</v>
      </c>
      <c r="N435" s="6"/>
    </row>
    <row r="436" spans="11:14" x14ac:dyDescent="0.25">
      <c r="K436">
        <v>430</v>
      </c>
      <c r="L436" t="s">
        <v>45</v>
      </c>
      <c r="M436">
        <v>3</v>
      </c>
      <c r="N436" s="6"/>
    </row>
    <row r="437" spans="11:14" x14ac:dyDescent="0.25">
      <c r="K437">
        <v>431</v>
      </c>
      <c r="L437" t="s">
        <v>45</v>
      </c>
      <c r="M437">
        <v>11</v>
      </c>
      <c r="N437" s="6"/>
    </row>
    <row r="438" spans="11:14" x14ac:dyDescent="0.25">
      <c r="K438">
        <v>432</v>
      </c>
      <c r="L438" t="s">
        <v>45</v>
      </c>
      <c r="M438">
        <v>3</v>
      </c>
      <c r="N438" s="6"/>
    </row>
    <row r="439" spans="11:14" x14ac:dyDescent="0.25">
      <c r="K439">
        <v>433</v>
      </c>
      <c r="L439" t="s">
        <v>45</v>
      </c>
      <c r="M439">
        <v>11</v>
      </c>
      <c r="N439" s="6"/>
    </row>
    <row r="440" spans="11:14" x14ac:dyDescent="0.25">
      <c r="K440">
        <v>434</v>
      </c>
      <c r="L440" t="s">
        <v>53</v>
      </c>
      <c r="M440">
        <v>6</v>
      </c>
      <c r="N440" s="6"/>
    </row>
    <row r="441" spans="11:14" x14ac:dyDescent="0.25">
      <c r="K441">
        <v>435</v>
      </c>
      <c r="L441" t="s">
        <v>53</v>
      </c>
      <c r="M441">
        <v>6</v>
      </c>
      <c r="N441" s="6"/>
    </row>
    <row r="442" spans="11:14" x14ac:dyDescent="0.25">
      <c r="K442">
        <v>436</v>
      </c>
      <c r="L442" t="s">
        <v>53</v>
      </c>
      <c r="M442">
        <v>7</v>
      </c>
      <c r="N442" s="6"/>
    </row>
    <row r="443" spans="11:14" x14ac:dyDescent="0.25">
      <c r="K443">
        <v>437</v>
      </c>
      <c r="L443" t="s">
        <v>53</v>
      </c>
      <c r="M443">
        <v>6</v>
      </c>
      <c r="N443" s="6"/>
    </row>
    <row r="444" spans="11:14" x14ac:dyDescent="0.25">
      <c r="K444">
        <v>438</v>
      </c>
      <c r="L444" t="s">
        <v>45</v>
      </c>
      <c r="M444">
        <v>9</v>
      </c>
      <c r="N444" s="6"/>
    </row>
    <row r="445" spans="11:14" x14ac:dyDescent="0.25">
      <c r="K445">
        <v>439</v>
      </c>
      <c r="L445" t="s">
        <v>53</v>
      </c>
      <c r="M445">
        <v>6</v>
      </c>
      <c r="N445" s="6"/>
    </row>
    <row r="446" spans="11:14" x14ac:dyDescent="0.25">
      <c r="K446">
        <v>440</v>
      </c>
      <c r="L446" t="s">
        <v>53</v>
      </c>
      <c r="M446">
        <v>7</v>
      </c>
      <c r="N446" s="6"/>
    </row>
    <row r="447" spans="11:14" x14ac:dyDescent="0.25">
      <c r="K447">
        <v>441</v>
      </c>
      <c r="L447" t="s">
        <v>53</v>
      </c>
      <c r="M447">
        <v>5</v>
      </c>
      <c r="N447" s="6"/>
    </row>
    <row r="448" spans="11:14" x14ac:dyDescent="0.25">
      <c r="K448">
        <v>442</v>
      </c>
      <c r="L448" t="s">
        <v>45</v>
      </c>
      <c r="M448">
        <v>11</v>
      </c>
      <c r="N448" s="6"/>
    </row>
    <row r="449" spans="11:14" x14ac:dyDescent="0.25">
      <c r="K449">
        <v>443</v>
      </c>
      <c r="L449" t="s">
        <v>45</v>
      </c>
      <c r="M449">
        <v>10</v>
      </c>
      <c r="N449" s="6"/>
    </row>
    <row r="450" spans="11:14" x14ac:dyDescent="0.25">
      <c r="K450">
        <v>444</v>
      </c>
      <c r="L450" t="s">
        <v>53</v>
      </c>
      <c r="M450">
        <v>8</v>
      </c>
      <c r="N450" s="6"/>
    </row>
    <row r="451" spans="11:14" x14ac:dyDescent="0.25">
      <c r="K451">
        <v>445</v>
      </c>
      <c r="L451" t="s">
        <v>53</v>
      </c>
      <c r="M451">
        <v>5</v>
      </c>
      <c r="N451" s="6"/>
    </row>
    <row r="452" spans="11:14" x14ac:dyDescent="0.25">
      <c r="K452">
        <v>446</v>
      </c>
      <c r="L452" t="s">
        <v>53</v>
      </c>
      <c r="M452">
        <v>7</v>
      </c>
      <c r="N452" s="6"/>
    </row>
    <row r="453" spans="11:14" x14ac:dyDescent="0.25">
      <c r="K453">
        <v>447</v>
      </c>
      <c r="L453" t="s">
        <v>45</v>
      </c>
      <c r="M453">
        <v>9</v>
      </c>
      <c r="N453" s="6"/>
    </row>
    <row r="454" spans="11:14" x14ac:dyDescent="0.25">
      <c r="K454">
        <v>448</v>
      </c>
      <c r="L454" t="s">
        <v>53</v>
      </c>
      <c r="M454">
        <v>8</v>
      </c>
      <c r="N454" s="6"/>
    </row>
    <row r="455" spans="11:14" x14ac:dyDescent="0.25">
      <c r="K455">
        <v>449</v>
      </c>
      <c r="L455" t="s">
        <v>53</v>
      </c>
      <c r="M455">
        <v>9</v>
      </c>
      <c r="N455" s="6"/>
    </row>
    <row r="456" spans="11:14" x14ac:dyDescent="0.25">
      <c r="K456">
        <v>450</v>
      </c>
      <c r="L456" t="s">
        <v>53</v>
      </c>
      <c r="M456">
        <v>5</v>
      </c>
      <c r="N456" s="6"/>
    </row>
    <row r="457" spans="11:14" x14ac:dyDescent="0.25">
      <c r="K457">
        <v>451</v>
      </c>
      <c r="L457" t="s">
        <v>53</v>
      </c>
      <c r="M457">
        <v>9</v>
      </c>
      <c r="N457" s="6"/>
    </row>
    <row r="458" spans="11:14" x14ac:dyDescent="0.25">
      <c r="K458">
        <v>452</v>
      </c>
      <c r="L458" t="s">
        <v>45</v>
      </c>
      <c r="M458">
        <v>3</v>
      </c>
      <c r="N458" s="6"/>
    </row>
    <row r="459" spans="11:14" x14ac:dyDescent="0.25">
      <c r="K459">
        <v>453</v>
      </c>
      <c r="L459" t="s">
        <v>53</v>
      </c>
      <c r="M459">
        <v>10</v>
      </c>
      <c r="N459" s="6"/>
    </row>
    <row r="460" spans="11:14" x14ac:dyDescent="0.25">
      <c r="K460">
        <v>454</v>
      </c>
      <c r="L460" t="s">
        <v>53</v>
      </c>
      <c r="M460">
        <v>10</v>
      </c>
      <c r="N460" s="6"/>
    </row>
    <row r="461" spans="11:14" x14ac:dyDescent="0.25">
      <c r="K461">
        <v>455</v>
      </c>
      <c r="L461" t="s">
        <v>53</v>
      </c>
      <c r="M461">
        <v>8</v>
      </c>
      <c r="N461" s="6"/>
    </row>
    <row r="462" spans="11:14" x14ac:dyDescent="0.25">
      <c r="K462">
        <v>456</v>
      </c>
      <c r="L462" t="s">
        <v>53</v>
      </c>
      <c r="M462">
        <v>8</v>
      </c>
      <c r="N462" s="6"/>
    </row>
    <row r="463" spans="11:14" x14ac:dyDescent="0.25">
      <c r="K463">
        <v>457</v>
      </c>
      <c r="L463" t="s">
        <v>45</v>
      </c>
      <c r="M463">
        <v>5</v>
      </c>
      <c r="N463" s="6"/>
    </row>
    <row r="464" spans="11:14" x14ac:dyDescent="0.25">
      <c r="K464">
        <v>458</v>
      </c>
      <c r="L464" t="s">
        <v>45</v>
      </c>
      <c r="M464">
        <v>12</v>
      </c>
      <c r="N464" s="6"/>
    </row>
    <row r="465" spans="11:14" x14ac:dyDescent="0.25">
      <c r="K465">
        <v>459</v>
      </c>
      <c r="L465" t="s">
        <v>45</v>
      </c>
      <c r="M465">
        <v>6</v>
      </c>
      <c r="N465" s="6"/>
    </row>
    <row r="466" spans="11:14" x14ac:dyDescent="0.25">
      <c r="K466">
        <v>460</v>
      </c>
      <c r="L466" t="s">
        <v>45</v>
      </c>
      <c r="M466">
        <v>3</v>
      </c>
      <c r="N466" s="6"/>
    </row>
    <row r="467" spans="11:14" x14ac:dyDescent="0.25">
      <c r="K467">
        <v>461</v>
      </c>
      <c r="L467" t="s">
        <v>53</v>
      </c>
      <c r="M467">
        <v>4</v>
      </c>
      <c r="N467" s="6"/>
    </row>
    <row r="468" spans="11:14" x14ac:dyDescent="0.25">
      <c r="K468">
        <v>462</v>
      </c>
      <c r="L468" t="s">
        <v>53</v>
      </c>
      <c r="M468">
        <v>5</v>
      </c>
      <c r="N468" s="6"/>
    </row>
    <row r="469" spans="11:14" x14ac:dyDescent="0.25">
      <c r="K469">
        <v>463</v>
      </c>
      <c r="L469" t="s">
        <v>53</v>
      </c>
      <c r="M469">
        <v>5</v>
      </c>
      <c r="N469" s="6"/>
    </row>
    <row r="470" spans="11:14" x14ac:dyDescent="0.25">
      <c r="K470">
        <v>464</v>
      </c>
      <c r="L470" t="s">
        <v>53</v>
      </c>
      <c r="M470">
        <v>5</v>
      </c>
      <c r="N470" s="6"/>
    </row>
    <row r="471" spans="11:14" x14ac:dyDescent="0.25">
      <c r="K471">
        <v>465</v>
      </c>
      <c r="L471" t="s">
        <v>53</v>
      </c>
      <c r="M471">
        <v>6</v>
      </c>
      <c r="N471" s="6"/>
    </row>
    <row r="472" spans="11:14" x14ac:dyDescent="0.25">
      <c r="K472">
        <v>466</v>
      </c>
      <c r="L472" t="s">
        <v>45</v>
      </c>
      <c r="M472">
        <v>12</v>
      </c>
      <c r="N472" s="6"/>
    </row>
    <row r="473" spans="11:14" x14ac:dyDescent="0.25">
      <c r="K473">
        <v>467</v>
      </c>
      <c r="L473" t="s">
        <v>53</v>
      </c>
      <c r="M473">
        <v>5</v>
      </c>
      <c r="N473" s="6"/>
    </row>
    <row r="474" spans="11:14" x14ac:dyDescent="0.25">
      <c r="K474">
        <v>468</v>
      </c>
      <c r="L474" t="s">
        <v>53</v>
      </c>
      <c r="M474">
        <v>9</v>
      </c>
      <c r="N474" s="6"/>
    </row>
    <row r="475" spans="11:14" x14ac:dyDescent="0.25">
      <c r="K475">
        <v>469</v>
      </c>
      <c r="L475" t="s">
        <v>53</v>
      </c>
      <c r="M475">
        <v>5</v>
      </c>
      <c r="N475" s="6"/>
    </row>
    <row r="476" spans="11:14" x14ac:dyDescent="0.25">
      <c r="K476">
        <v>470</v>
      </c>
      <c r="L476" t="s">
        <v>45</v>
      </c>
      <c r="M476">
        <v>9</v>
      </c>
      <c r="N476" s="6"/>
    </row>
    <row r="477" spans="11:14" x14ac:dyDescent="0.25">
      <c r="K477">
        <v>471</v>
      </c>
      <c r="L477" t="s">
        <v>53</v>
      </c>
      <c r="M477">
        <v>5</v>
      </c>
      <c r="N477" s="6"/>
    </row>
    <row r="478" spans="11:14" x14ac:dyDescent="0.25">
      <c r="K478">
        <v>472</v>
      </c>
      <c r="L478" t="s">
        <v>45</v>
      </c>
      <c r="M478">
        <v>8</v>
      </c>
      <c r="N478" s="6"/>
    </row>
    <row r="479" spans="11:14" x14ac:dyDescent="0.25">
      <c r="K479">
        <v>473</v>
      </c>
      <c r="L479" t="s">
        <v>53</v>
      </c>
      <c r="M479">
        <v>7</v>
      </c>
      <c r="N479" s="6"/>
    </row>
    <row r="480" spans="11:14" x14ac:dyDescent="0.25">
      <c r="K480">
        <v>474</v>
      </c>
      <c r="L480" t="s">
        <v>53</v>
      </c>
      <c r="M480">
        <v>10</v>
      </c>
      <c r="N480" s="6"/>
    </row>
    <row r="481" spans="11:14" x14ac:dyDescent="0.25">
      <c r="K481">
        <v>475</v>
      </c>
      <c r="L481" t="s">
        <v>53</v>
      </c>
      <c r="M481">
        <v>8</v>
      </c>
      <c r="N481" s="6"/>
    </row>
    <row r="482" spans="11:14" x14ac:dyDescent="0.25">
      <c r="K482">
        <v>476</v>
      </c>
      <c r="L482" t="s">
        <v>45</v>
      </c>
      <c r="M482">
        <v>5</v>
      </c>
      <c r="N482" s="6"/>
    </row>
    <row r="483" spans="11:14" x14ac:dyDescent="0.25">
      <c r="K483">
        <v>477</v>
      </c>
      <c r="L483" t="s">
        <v>45</v>
      </c>
      <c r="M483">
        <v>5</v>
      </c>
      <c r="N483" s="6"/>
    </row>
    <row r="484" spans="11:14" x14ac:dyDescent="0.25">
      <c r="K484">
        <v>478</v>
      </c>
      <c r="L484" t="s">
        <v>45</v>
      </c>
      <c r="M484">
        <v>11</v>
      </c>
      <c r="N484" s="6"/>
    </row>
    <row r="485" spans="11:14" x14ac:dyDescent="0.25">
      <c r="K485">
        <v>479</v>
      </c>
      <c r="L485" t="s">
        <v>45</v>
      </c>
      <c r="M485">
        <v>6</v>
      </c>
      <c r="N485" s="6"/>
    </row>
    <row r="486" spans="11:14" x14ac:dyDescent="0.25">
      <c r="K486">
        <v>480</v>
      </c>
      <c r="L486" t="s">
        <v>53</v>
      </c>
      <c r="M486">
        <v>10</v>
      </c>
      <c r="N486" s="6"/>
    </row>
    <row r="487" spans="11:14" x14ac:dyDescent="0.25">
      <c r="K487">
        <v>481</v>
      </c>
      <c r="L487" t="s">
        <v>45</v>
      </c>
      <c r="M487">
        <v>10</v>
      </c>
      <c r="N487" s="6"/>
    </row>
    <row r="488" spans="11:14" x14ac:dyDescent="0.25">
      <c r="K488">
        <v>482</v>
      </c>
      <c r="L488" t="s">
        <v>53</v>
      </c>
      <c r="M488">
        <v>9</v>
      </c>
      <c r="N488" s="6"/>
    </row>
    <row r="489" spans="11:14" x14ac:dyDescent="0.25">
      <c r="K489">
        <v>483</v>
      </c>
      <c r="L489" t="s">
        <v>45</v>
      </c>
      <c r="M489">
        <v>5</v>
      </c>
      <c r="N489" s="6"/>
    </row>
    <row r="490" spans="11:14" x14ac:dyDescent="0.25">
      <c r="K490">
        <v>484</v>
      </c>
      <c r="L490" t="s">
        <v>53</v>
      </c>
      <c r="M490">
        <v>6</v>
      </c>
      <c r="N490" s="6"/>
    </row>
    <row r="491" spans="11:14" x14ac:dyDescent="0.25">
      <c r="K491">
        <v>485</v>
      </c>
      <c r="L491" t="s">
        <v>53</v>
      </c>
      <c r="M491">
        <v>7</v>
      </c>
      <c r="N491" s="6"/>
    </row>
    <row r="492" spans="11:14" x14ac:dyDescent="0.25">
      <c r="K492">
        <v>486</v>
      </c>
      <c r="L492" t="s">
        <v>53</v>
      </c>
      <c r="M492">
        <v>5</v>
      </c>
      <c r="N492" s="6"/>
    </row>
    <row r="493" spans="11:14" x14ac:dyDescent="0.25">
      <c r="K493">
        <v>487</v>
      </c>
      <c r="L493" t="s">
        <v>45</v>
      </c>
      <c r="M493">
        <v>10</v>
      </c>
      <c r="N493" s="6"/>
    </row>
    <row r="494" spans="11:14" x14ac:dyDescent="0.25">
      <c r="K494">
        <v>488</v>
      </c>
      <c r="L494" t="s">
        <v>53</v>
      </c>
      <c r="M494">
        <v>8</v>
      </c>
      <c r="N494" s="6"/>
    </row>
    <row r="495" spans="11:14" x14ac:dyDescent="0.25">
      <c r="K495">
        <v>489</v>
      </c>
      <c r="L495" t="s">
        <v>45</v>
      </c>
      <c r="M495">
        <v>8</v>
      </c>
      <c r="N495" s="6"/>
    </row>
    <row r="496" spans="11:14" x14ac:dyDescent="0.25">
      <c r="K496">
        <v>490</v>
      </c>
      <c r="L496" t="s">
        <v>53</v>
      </c>
      <c r="M496">
        <v>7</v>
      </c>
      <c r="N496" s="6"/>
    </row>
    <row r="497" spans="11:14" x14ac:dyDescent="0.25">
      <c r="K497">
        <v>491</v>
      </c>
      <c r="L497" t="s">
        <v>45</v>
      </c>
      <c r="M497">
        <v>5</v>
      </c>
      <c r="N497" s="6"/>
    </row>
    <row r="498" spans="11:14" x14ac:dyDescent="0.25">
      <c r="K498">
        <v>492</v>
      </c>
      <c r="L498" t="s">
        <v>45</v>
      </c>
      <c r="M498">
        <v>6</v>
      </c>
      <c r="N498" s="6"/>
    </row>
    <row r="499" spans="11:14" x14ac:dyDescent="0.25">
      <c r="K499">
        <v>493</v>
      </c>
      <c r="L499" t="s">
        <v>53</v>
      </c>
      <c r="M499">
        <v>6</v>
      </c>
      <c r="N499" s="6"/>
    </row>
    <row r="500" spans="11:14" x14ac:dyDescent="0.25">
      <c r="K500">
        <v>494</v>
      </c>
      <c r="L500" t="s">
        <v>53</v>
      </c>
      <c r="M500">
        <v>7</v>
      </c>
      <c r="N500" s="6"/>
    </row>
    <row r="501" spans="11:14" x14ac:dyDescent="0.25">
      <c r="K501">
        <v>495</v>
      </c>
      <c r="L501" t="s">
        <v>45</v>
      </c>
      <c r="M501">
        <v>4</v>
      </c>
      <c r="N501" s="6"/>
    </row>
    <row r="502" spans="11:14" x14ac:dyDescent="0.25">
      <c r="K502">
        <v>496</v>
      </c>
      <c r="L502" t="s">
        <v>53</v>
      </c>
      <c r="M502">
        <v>7</v>
      </c>
      <c r="N502" s="6"/>
    </row>
    <row r="503" spans="11:14" x14ac:dyDescent="0.25">
      <c r="K503">
        <v>497</v>
      </c>
      <c r="L503" t="s">
        <v>45</v>
      </c>
      <c r="M503">
        <v>9</v>
      </c>
      <c r="N503" s="6"/>
    </row>
    <row r="504" spans="11:14" x14ac:dyDescent="0.25">
      <c r="K504">
        <v>498</v>
      </c>
      <c r="L504" t="s">
        <v>53</v>
      </c>
      <c r="M504">
        <v>9</v>
      </c>
      <c r="N504" s="6"/>
    </row>
    <row r="505" spans="11:14" x14ac:dyDescent="0.25">
      <c r="K505">
        <v>499</v>
      </c>
      <c r="L505" t="s">
        <v>45</v>
      </c>
      <c r="M505">
        <v>5</v>
      </c>
      <c r="N505" s="6"/>
    </row>
    <row r="506" spans="11:14" x14ac:dyDescent="0.25">
      <c r="K506">
        <v>500</v>
      </c>
      <c r="L506" t="s">
        <v>53</v>
      </c>
      <c r="M506">
        <v>9</v>
      </c>
      <c r="N506" s="6"/>
    </row>
    <row r="507" spans="11:14" x14ac:dyDescent="0.25">
      <c r="K507">
        <v>501</v>
      </c>
      <c r="L507" t="s">
        <v>45</v>
      </c>
      <c r="M507">
        <v>10</v>
      </c>
      <c r="N507" s="6"/>
    </row>
    <row r="508" spans="11:14" x14ac:dyDescent="0.25">
      <c r="K508">
        <v>502</v>
      </c>
      <c r="L508" t="s">
        <v>45</v>
      </c>
      <c r="M508">
        <v>9</v>
      </c>
      <c r="N508" s="6"/>
    </row>
    <row r="509" spans="11:14" x14ac:dyDescent="0.25">
      <c r="K509">
        <v>503</v>
      </c>
      <c r="L509" t="s">
        <v>53</v>
      </c>
      <c r="M509">
        <v>6</v>
      </c>
      <c r="N509" s="6"/>
    </row>
    <row r="510" spans="11:14" x14ac:dyDescent="0.25">
      <c r="K510">
        <v>504</v>
      </c>
      <c r="L510" t="s">
        <v>53</v>
      </c>
      <c r="M510">
        <v>7</v>
      </c>
      <c r="N510" s="6"/>
    </row>
    <row r="511" spans="11:14" x14ac:dyDescent="0.25">
      <c r="K511">
        <v>505</v>
      </c>
      <c r="L511" t="s">
        <v>53</v>
      </c>
      <c r="M511">
        <v>9</v>
      </c>
      <c r="N511" s="6"/>
    </row>
    <row r="512" spans="11:14" x14ac:dyDescent="0.25">
      <c r="K512">
        <v>506</v>
      </c>
      <c r="L512" t="s">
        <v>45</v>
      </c>
      <c r="M512">
        <v>12</v>
      </c>
      <c r="N512" s="6"/>
    </row>
    <row r="513" spans="11:14" x14ac:dyDescent="0.25">
      <c r="K513">
        <v>507</v>
      </c>
      <c r="L513" t="s">
        <v>53</v>
      </c>
      <c r="M513">
        <v>10</v>
      </c>
      <c r="N513" s="6"/>
    </row>
    <row r="514" spans="11:14" x14ac:dyDescent="0.25">
      <c r="K514">
        <v>508</v>
      </c>
      <c r="L514" t="s">
        <v>53</v>
      </c>
      <c r="M514">
        <v>6</v>
      </c>
      <c r="N514" s="6"/>
    </row>
    <row r="515" spans="11:14" x14ac:dyDescent="0.25">
      <c r="K515">
        <v>509</v>
      </c>
      <c r="L515" t="s">
        <v>45</v>
      </c>
      <c r="M515">
        <v>5</v>
      </c>
      <c r="N515" s="6"/>
    </row>
    <row r="516" spans="11:14" x14ac:dyDescent="0.25">
      <c r="K516">
        <v>510</v>
      </c>
      <c r="L516" t="s">
        <v>53</v>
      </c>
      <c r="M516">
        <v>8</v>
      </c>
      <c r="N516" s="6"/>
    </row>
    <row r="517" spans="11:14" x14ac:dyDescent="0.25">
      <c r="K517">
        <v>511</v>
      </c>
      <c r="L517" t="s">
        <v>53</v>
      </c>
      <c r="M517">
        <v>6</v>
      </c>
      <c r="N517" s="6"/>
    </row>
    <row r="518" spans="11:14" x14ac:dyDescent="0.25">
      <c r="K518">
        <v>512</v>
      </c>
      <c r="L518" t="s">
        <v>45</v>
      </c>
      <c r="M518">
        <v>4</v>
      </c>
      <c r="N518" s="6"/>
    </row>
    <row r="519" spans="11:14" x14ac:dyDescent="0.25">
      <c r="K519">
        <v>513</v>
      </c>
      <c r="L519" t="s">
        <v>45</v>
      </c>
      <c r="M519">
        <v>5</v>
      </c>
      <c r="N519" s="6"/>
    </row>
    <row r="520" spans="11:14" x14ac:dyDescent="0.25">
      <c r="K520">
        <v>514</v>
      </c>
      <c r="L520" t="s">
        <v>53</v>
      </c>
      <c r="M520">
        <v>6</v>
      </c>
      <c r="N520" s="6"/>
    </row>
    <row r="521" spans="11:14" x14ac:dyDescent="0.25">
      <c r="K521">
        <v>515</v>
      </c>
      <c r="L521" t="s">
        <v>45</v>
      </c>
      <c r="M521">
        <v>3</v>
      </c>
      <c r="N521" s="6"/>
    </row>
    <row r="522" spans="11:14" x14ac:dyDescent="0.25">
      <c r="K522">
        <v>516</v>
      </c>
      <c r="L522" t="s">
        <v>45</v>
      </c>
      <c r="M522">
        <v>10</v>
      </c>
      <c r="N522" s="6"/>
    </row>
    <row r="523" spans="11:14" x14ac:dyDescent="0.25">
      <c r="K523">
        <v>517</v>
      </c>
      <c r="L523" t="s">
        <v>45</v>
      </c>
      <c r="M523">
        <v>5</v>
      </c>
      <c r="N523" s="6"/>
    </row>
    <row r="524" spans="11:14" x14ac:dyDescent="0.25">
      <c r="K524">
        <v>518</v>
      </c>
      <c r="L524" t="s">
        <v>53</v>
      </c>
      <c r="M524">
        <v>9</v>
      </c>
      <c r="N524" s="6"/>
    </row>
    <row r="525" spans="11:14" x14ac:dyDescent="0.25">
      <c r="K525">
        <v>519</v>
      </c>
      <c r="L525" t="s">
        <v>53</v>
      </c>
      <c r="M525">
        <v>7</v>
      </c>
      <c r="N525" s="6"/>
    </row>
    <row r="526" spans="11:14" x14ac:dyDescent="0.25">
      <c r="K526">
        <v>520</v>
      </c>
      <c r="L526" t="s">
        <v>53</v>
      </c>
      <c r="M526">
        <v>10</v>
      </c>
      <c r="N526" s="6"/>
    </row>
    <row r="527" spans="11:14" x14ac:dyDescent="0.25">
      <c r="K527">
        <v>521</v>
      </c>
      <c r="L527" t="s">
        <v>53</v>
      </c>
      <c r="M527">
        <v>7</v>
      </c>
      <c r="N527" s="6"/>
    </row>
    <row r="528" spans="11:14" x14ac:dyDescent="0.25">
      <c r="K528">
        <v>522</v>
      </c>
      <c r="L528" t="s">
        <v>45</v>
      </c>
      <c r="M528">
        <v>6</v>
      </c>
      <c r="N528" s="6"/>
    </row>
    <row r="529" spans="11:14" x14ac:dyDescent="0.25">
      <c r="K529">
        <v>523</v>
      </c>
      <c r="L529" t="s">
        <v>45</v>
      </c>
      <c r="M529">
        <v>4</v>
      </c>
      <c r="N529" s="6"/>
    </row>
    <row r="530" spans="11:14" x14ac:dyDescent="0.25">
      <c r="K530">
        <v>524</v>
      </c>
      <c r="L530" t="s">
        <v>53</v>
      </c>
      <c r="M530">
        <v>10</v>
      </c>
      <c r="N530" s="6"/>
    </row>
    <row r="531" spans="11:14" x14ac:dyDescent="0.25">
      <c r="K531">
        <v>525</v>
      </c>
      <c r="L531" t="s">
        <v>45</v>
      </c>
      <c r="M531">
        <v>5</v>
      </c>
      <c r="N531" s="6"/>
    </row>
    <row r="532" spans="11:14" x14ac:dyDescent="0.25">
      <c r="K532">
        <v>526</v>
      </c>
      <c r="L532" t="s">
        <v>53</v>
      </c>
      <c r="M532">
        <v>9</v>
      </c>
      <c r="N532" s="6"/>
    </row>
    <row r="533" spans="11:14" x14ac:dyDescent="0.25">
      <c r="K533">
        <v>527</v>
      </c>
      <c r="L533" t="s">
        <v>45</v>
      </c>
      <c r="M533">
        <v>3</v>
      </c>
      <c r="N533" s="6"/>
    </row>
    <row r="534" spans="11:14" x14ac:dyDescent="0.25">
      <c r="K534">
        <v>528</v>
      </c>
      <c r="L534" t="s">
        <v>45</v>
      </c>
      <c r="M534">
        <v>10</v>
      </c>
      <c r="N534" s="6"/>
    </row>
    <row r="535" spans="11:14" x14ac:dyDescent="0.25">
      <c r="K535">
        <v>529</v>
      </c>
      <c r="L535" t="s">
        <v>45</v>
      </c>
      <c r="M535">
        <v>3</v>
      </c>
      <c r="N535" s="6"/>
    </row>
    <row r="536" spans="11:14" x14ac:dyDescent="0.25">
      <c r="K536">
        <v>530</v>
      </c>
      <c r="L536" t="s">
        <v>53</v>
      </c>
      <c r="M536">
        <v>8</v>
      </c>
      <c r="N536" s="6"/>
    </row>
    <row r="537" spans="11:14" x14ac:dyDescent="0.25">
      <c r="K537">
        <v>531</v>
      </c>
      <c r="L537" t="s">
        <v>53</v>
      </c>
      <c r="M537">
        <v>8</v>
      </c>
      <c r="N537" s="6"/>
    </row>
    <row r="538" spans="11:14" x14ac:dyDescent="0.25">
      <c r="K538">
        <v>532</v>
      </c>
      <c r="L538" t="s">
        <v>53</v>
      </c>
      <c r="M538">
        <v>7</v>
      </c>
      <c r="N538" s="6"/>
    </row>
    <row r="539" spans="11:14" x14ac:dyDescent="0.25">
      <c r="K539">
        <v>533</v>
      </c>
      <c r="L539" t="s">
        <v>45</v>
      </c>
      <c r="M539">
        <v>3</v>
      </c>
      <c r="N539" s="6"/>
    </row>
    <row r="540" spans="11:14" x14ac:dyDescent="0.25">
      <c r="K540">
        <v>534</v>
      </c>
      <c r="L540" t="s">
        <v>45</v>
      </c>
      <c r="M540">
        <v>12</v>
      </c>
      <c r="N540" s="6"/>
    </row>
    <row r="541" spans="11:14" x14ac:dyDescent="0.25">
      <c r="K541">
        <v>535</v>
      </c>
      <c r="L541" t="s">
        <v>45</v>
      </c>
      <c r="M541">
        <v>10</v>
      </c>
      <c r="N541" s="6"/>
    </row>
    <row r="542" spans="11:14" x14ac:dyDescent="0.25">
      <c r="K542">
        <v>536</v>
      </c>
      <c r="L542" t="s">
        <v>45</v>
      </c>
      <c r="M542">
        <v>9</v>
      </c>
      <c r="N542" s="6"/>
    </row>
    <row r="543" spans="11:14" x14ac:dyDescent="0.25">
      <c r="K543">
        <v>537</v>
      </c>
      <c r="L543" t="s">
        <v>45</v>
      </c>
      <c r="M543">
        <v>11</v>
      </c>
      <c r="N543" s="6"/>
    </row>
    <row r="544" spans="11:14" x14ac:dyDescent="0.25">
      <c r="K544">
        <v>538</v>
      </c>
      <c r="L544" t="s">
        <v>45</v>
      </c>
      <c r="M544">
        <v>11</v>
      </c>
      <c r="N544" s="6"/>
    </row>
    <row r="545" spans="11:14" x14ac:dyDescent="0.25">
      <c r="K545">
        <v>539</v>
      </c>
      <c r="L545" t="s">
        <v>45</v>
      </c>
      <c r="M545">
        <v>2</v>
      </c>
      <c r="N545" s="6"/>
    </row>
    <row r="546" spans="11:14" x14ac:dyDescent="0.25">
      <c r="K546">
        <v>540</v>
      </c>
      <c r="L546" t="s">
        <v>53</v>
      </c>
      <c r="M546">
        <v>10</v>
      </c>
      <c r="N546" s="6"/>
    </row>
    <row r="547" spans="11:14" x14ac:dyDescent="0.25">
      <c r="K547">
        <v>541</v>
      </c>
      <c r="L547" t="s">
        <v>45</v>
      </c>
      <c r="M547">
        <v>11</v>
      </c>
      <c r="N547" s="6"/>
    </row>
    <row r="548" spans="11:14" x14ac:dyDescent="0.25">
      <c r="K548">
        <v>542</v>
      </c>
      <c r="L548" t="s">
        <v>53</v>
      </c>
      <c r="M548">
        <v>4</v>
      </c>
      <c r="N548" s="6"/>
    </row>
    <row r="549" spans="11:14" x14ac:dyDescent="0.25">
      <c r="K549">
        <v>543</v>
      </c>
      <c r="L549" t="s">
        <v>53</v>
      </c>
      <c r="M549">
        <v>7</v>
      </c>
      <c r="N549" s="6"/>
    </row>
    <row r="550" spans="11:14" x14ac:dyDescent="0.25">
      <c r="K550">
        <v>544</v>
      </c>
      <c r="L550" t="s">
        <v>53</v>
      </c>
      <c r="M550">
        <v>10</v>
      </c>
      <c r="N550" s="6"/>
    </row>
    <row r="551" spans="11:14" x14ac:dyDescent="0.25">
      <c r="K551">
        <v>545</v>
      </c>
      <c r="L551" t="s">
        <v>45</v>
      </c>
      <c r="M551">
        <v>12</v>
      </c>
      <c r="N551" s="6"/>
    </row>
    <row r="552" spans="11:14" x14ac:dyDescent="0.25">
      <c r="K552">
        <v>546</v>
      </c>
      <c r="L552" t="s">
        <v>45</v>
      </c>
      <c r="M552">
        <v>9</v>
      </c>
      <c r="N552" s="6"/>
    </row>
    <row r="553" spans="11:14" x14ac:dyDescent="0.25">
      <c r="K553">
        <v>547</v>
      </c>
      <c r="L553" t="s">
        <v>45</v>
      </c>
      <c r="M553">
        <v>10</v>
      </c>
      <c r="N553" s="6"/>
    </row>
    <row r="554" spans="11:14" x14ac:dyDescent="0.25">
      <c r="K554">
        <v>548</v>
      </c>
      <c r="L554" t="s">
        <v>45</v>
      </c>
      <c r="M554">
        <v>8</v>
      </c>
      <c r="N554" s="6"/>
    </row>
    <row r="555" spans="11:14" x14ac:dyDescent="0.25">
      <c r="K555">
        <v>549</v>
      </c>
      <c r="L555" t="s">
        <v>45</v>
      </c>
      <c r="M555">
        <v>4</v>
      </c>
      <c r="N555" s="6"/>
    </row>
    <row r="556" spans="11:14" x14ac:dyDescent="0.25">
      <c r="K556">
        <v>550</v>
      </c>
      <c r="L556" t="s">
        <v>53</v>
      </c>
      <c r="M556">
        <v>9</v>
      </c>
      <c r="N556" s="6"/>
    </row>
    <row r="557" spans="11:14" x14ac:dyDescent="0.25">
      <c r="K557">
        <v>551</v>
      </c>
      <c r="L557" t="s">
        <v>53</v>
      </c>
      <c r="M557">
        <v>9</v>
      </c>
      <c r="N557" s="6"/>
    </row>
    <row r="558" spans="11:14" x14ac:dyDescent="0.25">
      <c r="K558">
        <v>552</v>
      </c>
      <c r="L558" t="s">
        <v>45</v>
      </c>
      <c r="M558">
        <v>12</v>
      </c>
      <c r="N558" s="6"/>
    </row>
    <row r="559" spans="11:14" x14ac:dyDescent="0.25">
      <c r="K559">
        <v>553</v>
      </c>
      <c r="L559" t="s">
        <v>53</v>
      </c>
      <c r="M559">
        <v>5</v>
      </c>
      <c r="N559" s="6"/>
    </row>
    <row r="560" spans="11:14" x14ac:dyDescent="0.25">
      <c r="K560">
        <v>554</v>
      </c>
      <c r="L560" t="s">
        <v>45</v>
      </c>
      <c r="M560">
        <v>9</v>
      </c>
      <c r="N560" s="6"/>
    </row>
    <row r="561" spans="11:14" x14ac:dyDescent="0.25">
      <c r="K561">
        <v>555</v>
      </c>
      <c r="L561" t="s">
        <v>45</v>
      </c>
      <c r="M561">
        <v>2</v>
      </c>
      <c r="N561" s="6"/>
    </row>
    <row r="562" spans="11:14" x14ac:dyDescent="0.25">
      <c r="K562">
        <v>556</v>
      </c>
      <c r="L562" t="s">
        <v>53</v>
      </c>
      <c r="M562">
        <v>5</v>
      </c>
      <c r="N562" s="6"/>
    </row>
    <row r="563" spans="11:14" x14ac:dyDescent="0.25">
      <c r="K563">
        <v>557</v>
      </c>
      <c r="L563" t="s">
        <v>45</v>
      </c>
      <c r="M563">
        <v>3</v>
      </c>
      <c r="N563" s="6"/>
    </row>
    <row r="564" spans="11:14" x14ac:dyDescent="0.25">
      <c r="K564">
        <v>558</v>
      </c>
      <c r="L564" t="s">
        <v>53</v>
      </c>
      <c r="M564">
        <v>7</v>
      </c>
      <c r="N564" s="6"/>
    </row>
    <row r="565" spans="11:14" x14ac:dyDescent="0.25">
      <c r="K565">
        <v>559</v>
      </c>
      <c r="L565" t="s">
        <v>45</v>
      </c>
      <c r="M565">
        <v>9</v>
      </c>
      <c r="N565" s="6"/>
    </row>
    <row r="566" spans="11:14" x14ac:dyDescent="0.25">
      <c r="K566">
        <v>560</v>
      </c>
      <c r="L566" t="s">
        <v>45</v>
      </c>
      <c r="M566">
        <v>6</v>
      </c>
      <c r="N566" s="6"/>
    </row>
    <row r="567" spans="11:14" x14ac:dyDescent="0.25">
      <c r="K567">
        <v>561</v>
      </c>
      <c r="L567" t="s">
        <v>53</v>
      </c>
      <c r="M567">
        <v>7</v>
      </c>
      <c r="N567" s="6"/>
    </row>
    <row r="568" spans="11:14" x14ac:dyDescent="0.25">
      <c r="K568">
        <v>562</v>
      </c>
      <c r="L568" t="s">
        <v>53</v>
      </c>
      <c r="M568">
        <v>5</v>
      </c>
      <c r="N568" s="6"/>
    </row>
    <row r="569" spans="11:14" x14ac:dyDescent="0.25">
      <c r="K569">
        <v>563</v>
      </c>
      <c r="L569" t="s">
        <v>53</v>
      </c>
      <c r="M569">
        <v>10</v>
      </c>
      <c r="N569" s="6"/>
    </row>
    <row r="570" spans="11:14" x14ac:dyDescent="0.25">
      <c r="K570">
        <v>564</v>
      </c>
      <c r="L570" t="s">
        <v>45</v>
      </c>
      <c r="M570">
        <v>4</v>
      </c>
      <c r="N570" s="6"/>
    </row>
    <row r="571" spans="11:14" x14ac:dyDescent="0.25">
      <c r="K571">
        <v>565</v>
      </c>
      <c r="L571" t="s">
        <v>53</v>
      </c>
      <c r="M571">
        <v>5</v>
      </c>
      <c r="N571" s="6"/>
    </row>
    <row r="572" spans="11:14" x14ac:dyDescent="0.25">
      <c r="K572">
        <v>566</v>
      </c>
      <c r="L572" t="s">
        <v>53</v>
      </c>
      <c r="M572">
        <v>10</v>
      </c>
      <c r="N572" s="6"/>
    </row>
    <row r="573" spans="11:14" x14ac:dyDescent="0.25">
      <c r="K573">
        <v>567</v>
      </c>
      <c r="L573" t="s">
        <v>53</v>
      </c>
      <c r="M573">
        <v>4</v>
      </c>
      <c r="N573" s="6"/>
    </row>
    <row r="574" spans="11:14" x14ac:dyDescent="0.25">
      <c r="K574">
        <v>568</v>
      </c>
      <c r="L574" t="s">
        <v>45</v>
      </c>
      <c r="M574">
        <v>5</v>
      </c>
      <c r="N574" s="6"/>
    </row>
    <row r="575" spans="11:14" x14ac:dyDescent="0.25">
      <c r="K575">
        <v>569</v>
      </c>
      <c r="L575" t="s">
        <v>53</v>
      </c>
      <c r="M575">
        <v>4</v>
      </c>
      <c r="N575" s="6"/>
    </row>
    <row r="576" spans="11:14" x14ac:dyDescent="0.25">
      <c r="K576">
        <v>570</v>
      </c>
      <c r="L576" t="s">
        <v>45</v>
      </c>
      <c r="M576">
        <v>10</v>
      </c>
      <c r="N576" s="6"/>
    </row>
    <row r="577" spans="11:14" x14ac:dyDescent="0.25">
      <c r="K577">
        <v>571</v>
      </c>
      <c r="L577" t="s">
        <v>53</v>
      </c>
      <c r="M577">
        <v>8</v>
      </c>
      <c r="N577" s="6"/>
    </row>
    <row r="578" spans="11:14" x14ac:dyDescent="0.25">
      <c r="K578">
        <v>572</v>
      </c>
      <c r="L578" t="s">
        <v>53</v>
      </c>
      <c r="M578">
        <v>7</v>
      </c>
      <c r="N578" s="6"/>
    </row>
    <row r="579" spans="11:14" x14ac:dyDescent="0.25">
      <c r="K579">
        <v>573</v>
      </c>
      <c r="L579" t="s">
        <v>53</v>
      </c>
      <c r="M579">
        <v>8</v>
      </c>
      <c r="N579" s="6"/>
    </row>
    <row r="580" spans="11:14" x14ac:dyDescent="0.25">
      <c r="K580">
        <v>574</v>
      </c>
      <c r="L580" t="s">
        <v>53</v>
      </c>
      <c r="M580">
        <v>8</v>
      </c>
      <c r="N580" s="6"/>
    </row>
    <row r="581" spans="11:14" x14ac:dyDescent="0.25">
      <c r="K581">
        <v>575</v>
      </c>
      <c r="L581" t="s">
        <v>53</v>
      </c>
      <c r="M581">
        <v>4</v>
      </c>
      <c r="N581" s="6"/>
    </row>
    <row r="582" spans="11:14" x14ac:dyDescent="0.25">
      <c r="K582">
        <v>576</v>
      </c>
      <c r="L582" t="s">
        <v>53</v>
      </c>
      <c r="M582">
        <v>7</v>
      </c>
      <c r="N582" s="6"/>
    </row>
    <row r="583" spans="11:14" x14ac:dyDescent="0.25">
      <c r="K583">
        <v>577</v>
      </c>
      <c r="L583" t="s">
        <v>53</v>
      </c>
      <c r="M583">
        <v>7</v>
      </c>
      <c r="N583" s="6"/>
    </row>
    <row r="584" spans="11:14" x14ac:dyDescent="0.25">
      <c r="K584">
        <v>578</v>
      </c>
      <c r="L584" t="s">
        <v>53</v>
      </c>
      <c r="M584">
        <v>7</v>
      </c>
      <c r="N584" s="6"/>
    </row>
    <row r="585" spans="11:14" x14ac:dyDescent="0.25">
      <c r="K585">
        <v>579</v>
      </c>
      <c r="L585" t="s">
        <v>45</v>
      </c>
      <c r="M585">
        <v>8</v>
      </c>
      <c r="N585" s="6"/>
    </row>
    <row r="586" spans="11:14" x14ac:dyDescent="0.25">
      <c r="K586">
        <v>580</v>
      </c>
      <c r="L586" t="s">
        <v>53</v>
      </c>
      <c r="M586">
        <v>10</v>
      </c>
      <c r="N586" s="6"/>
    </row>
    <row r="587" spans="11:14" x14ac:dyDescent="0.25">
      <c r="K587">
        <v>581</v>
      </c>
      <c r="L587" t="s">
        <v>45</v>
      </c>
      <c r="M587">
        <v>5</v>
      </c>
      <c r="N587" s="6"/>
    </row>
    <row r="588" spans="11:14" x14ac:dyDescent="0.25">
      <c r="K588">
        <v>582</v>
      </c>
      <c r="L588" t="s">
        <v>45</v>
      </c>
      <c r="M588">
        <v>8</v>
      </c>
      <c r="N588" s="6"/>
    </row>
    <row r="589" spans="11:14" x14ac:dyDescent="0.25">
      <c r="K589">
        <v>583</v>
      </c>
      <c r="L589" t="s">
        <v>45</v>
      </c>
      <c r="M589">
        <v>3</v>
      </c>
      <c r="N589" s="6"/>
    </row>
    <row r="590" spans="11:14" x14ac:dyDescent="0.25">
      <c r="K590">
        <v>584</v>
      </c>
      <c r="L590" t="s">
        <v>53</v>
      </c>
      <c r="M590">
        <v>7</v>
      </c>
      <c r="N590" s="6"/>
    </row>
    <row r="591" spans="11:14" x14ac:dyDescent="0.25">
      <c r="K591">
        <v>585</v>
      </c>
      <c r="L591" t="s">
        <v>53</v>
      </c>
      <c r="M591">
        <v>7</v>
      </c>
      <c r="N591" s="6"/>
    </row>
    <row r="592" spans="11:14" x14ac:dyDescent="0.25">
      <c r="K592">
        <v>586</v>
      </c>
      <c r="L592" t="s">
        <v>53</v>
      </c>
      <c r="M592">
        <v>7</v>
      </c>
      <c r="N592" s="6"/>
    </row>
    <row r="593" spans="11:14" x14ac:dyDescent="0.25">
      <c r="K593">
        <v>587</v>
      </c>
      <c r="L593" t="s">
        <v>45</v>
      </c>
      <c r="M593">
        <v>11</v>
      </c>
      <c r="N593" s="6"/>
    </row>
    <row r="594" spans="11:14" x14ac:dyDescent="0.25">
      <c r="K594">
        <v>588</v>
      </c>
      <c r="L594" t="s">
        <v>53</v>
      </c>
      <c r="M594">
        <v>5</v>
      </c>
      <c r="N594" s="6"/>
    </row>
    <row r="595" spans="11:14" x14ac:dyDescent="0.25">
      <c r="K595">
        <v>589</v>
      </c>
      <c r="L595" t="s">
        <v>45</v>
      </c>
      <c r="M595">
        <v>6</v>
      </c>
      <c r="N595" s="6"/>
    </row>
    <row r="596" spans="11:14" x14ac:dyDescent="0.25">
      <c r="K596">
        <v>590</v>
      </c>
      <c r="L596" t="s">
        <v>53</v>
      </c>
      <c r="M596">
        <v>7</v>
      </c>
      <c r="N596" s="6"/>
    </row>
    <row r="597" spans="11:14" x14ac:dyDescent="0.25">
      <c r="K597">
        <v>591</v>
      </c>
      <c r="L597" t="s">
        <v>45</v>
      </c>
      <c r="M597">
        <v>5</v>
      </c>
      <c r="N597" s="6"/>
    </row>
    <row r="598" spans="11:14" x14ac:dyDescent="0.25">
      <c r="K598">
        <v>592</v>
      </c>
      <c r="L598" t="s">
        <v>53</v>
      </c>
      <c r="M598">
        <v>7</v>
      </c>
      <c r="N598" s="6"/>
    </row>
    <row r="599" spans="11:14" x14ac:dyDescent="0.25">
      <c r="K599">
        <v>593</v>
      </c>
      <c r="L599" t="s">
        <v>53</v>
      </c>
      <c r="M599">
        <v>7</v>
      </c>
      <c r="N599" s="6"/>
    </row>
    <row r="600" spans="11:14" x14ac:dyDescent="0.25">
      <c r="K600">
        <v>594</v>
      </c>
      <c r="L600" t="s">
        <v>45</v>
      </c>
      <c r="M600">
        <v>9</v>
      </c>
      <c r="N600" s="6"/>
    </row>
    <row r="601" spans="11:14" x14ac:dyDescent="0.25">
      <c r="K601">
        <v>595</v>
      </c>
      <c r="L601" t="s">
        <v>53</v>
      </c>
      <c r="M601">
        <v>6</v>
      </c>
      <c r="N601" s="6"/>
    </row>
    <row r="602" spans="11:14" x14ac:dyDescent="0.25">
      <c r="K602">
        <v>596</v>
      </c>
      <c r="L602" t="s">
        <v>45</v>
      </c>
      <c r="M602">
        <v>3</v>
      </c>
      <c r="N602" s="6"/>
    </row>
    <row r="603" spans="11:14" x14ac:dyDescent="0.25">
      <c r="K603">
        <v>597</v>
      </c>
      <c r="L603" t="s">
        <v>53</v>
      </c>
      <c r="M603">
        <v>6</v>
      </c>
      <c r="N603" s="6"/>
    </row>
    <row r="604" spans="11:14" x14ac:dyDescent="0.25">
      <c r="K604">
        <v>598</v>
      </c>
      <c r="L604" t="s">
        <v>53</v>
      </c>
      <c r="M604">
        <v>9</v>
      </c>
      <c r="N604" s="6"/>
    </row>
    <row r="605" spans="11:14" x14ac:dyDescent="0.25">
      <c r="K605">
        <v>599</v>
      </c>
      <c r="L605" t="s">
        <v>53</v>
      </c>
      <c r="M605">
        <v>8</v>
      </c>
      <c r="N605" s="6"/>
    </row>
    <row r="606" spans="11:14" x14ac:dyDescent="0.25">
      <c r="K606">
        <v>600</v>
      </c>
      <c r="L606" t="s">
        <v>53</v>
      </c>
      <c r="M606">
        <v>7</v>
      </c>
      <c r="N606" s="6"/>
    </row>
    <row r="607" spans="11:14" x14ac:dyDescent="0.25">
      <c r="K607">
        <v>601</v>
      </c>
      <c r="L607" t="s">
        <v>45</v>
      </c>
      <c r="M607">
        <v>3</v>
      </c>
      <c r="N607" s="6"/>
    </row>
    <row r="608" spans="11:14" x14ac:dyDescent="0.25">
      <c r="K608">
        <v>602</v>
      </c>
      <c r="L608" t="s">
        <v>53</v>
      </c>
      <c r="M608">
        <v>8</v>
      </c>
      <c r="N608" s="6"/>
    </row>
    <row r="609" spans="11:14" x14ac:dyDescent="0.25">
      <c r="K609">
        <v>603</v>
      </c>
      <c r="L609" t="s">
        <v>53</v>
      </c>
      <c r="M609">
        <v>9</v>
      </c>
      <c r="N609" s="6"/>
    </row>
    <row r="610" spans="11:14" x14ac:dyDescent="0.25">
      <c r="K610">
        <v>604</v>
      </c>
      <c r="L610" t="s">
        <v>45</v>
      </c>
      <c r="M610">
        <v>10</v>
      </c>
      <c r="N610" s="6"/>
    </row>
    <row r="611" spans="11:14" x14ac:dyDescent="0.25">
      <c r="K611">
        <v>605</v>
      </c>
      <c r="L611" t="s">
        <v>45</v>
      </c>
      <c r="M611">
        <v>9</v>
      </c>
      <c r="N611" s="6"/>
    </row>
    <row r="612" spans="11:14" x14ac:dyDescent="0.25">
      <c r="K612">
        <v>606</v>
      </c>
      <c r="L612" t="s">
        <v>45</v>
      </c>
      <c r="M612">
        <v>11</v>
      </c>
      <c r="N612" s="6"/>
    </row>
    <row r="613" spans="11:14" x14ac:dyDescent="0.25">
      <c r="K613">
        <v>607</v>
      </c>
      <c r="L613" t="s">
        <v>45</v>
      </c>
      <c r="M613">
        <v>4</v>
      </c>
      <c r="N613" s="6"/>
    </row>
    <row r="614" spans="11:14" x14ac:dyDescent="0.25">
      <c r="K614">
        <v>608</v>
      </c>
      <c r="L614" t="s">
        <v>53</v>
      </c>
      <c r="M614">
        <v>7</v>
      </c>
      <c r="N614" s="6"/>
    </row>
    <row r="615" spans="11:14" x14ac:dyDescent="0.25">
      <c r="K615">
        <v>609</v>
      </c>
      <c r="L615" t="s">
        <v>53</v>
      </c>
      <c r="M615">
        <v>5</v>
      </c>
      <c r="N615" s="6"/>
    </row>
    <row r="616" spans="11:14" x14ac:dyDescent="0.25">
      <c r="K616">
        <v>610</v>
      </c>
      <c r="L616" t="s">
        <v>45</v>
      </c>
      <c r="M616">
        <v>10</v>
      </c>
      <c r="N616" s="6"/>
    </row>
    <row r="617" spans="11:14" x14ac:dyDescent="0.25">
      <c r="K617">
        <v>611</v>
      </c>
      <c r="L617" t="s">
        <v>45</v>
      </c>
      <c r="M617">
        <v>2</v>
      </c>
      <c r="N617" s="6"/>
    </row>
    <row r="618" spans="11:14" x14ac:dyDescent="0.25">
      <c r="K618">
        <v>612</v>
      </c>
      <c r="L618" t="s">
        <v>53</v>
      </c>
      <c r="M618">
        <v>5</v>
      </c>
      <c r="N618" s="6"/>
    </row>
    <row r="619" spans="11:14" x14ac:dyDescent="0.25">
      <c r="K619">
        <v>613</v>
      </c>
      <c r="L619" t="s">
        <v>45</v>
      </c>
      <c r="M619">
        <v>8</v>
      </c>
      <c r="N619" s="6"/>
    </row>
    <row r="620" spans="11:14" x14ac:dyDescent="0.25">
      <c r="K620">
        <v>614</v>
      </c>
      <c r="L620" t="s">
        <v>53</v>
      </c>
      <c r="M620">
        <v>9</v>
      </c>
      <c r="N620" s="6"/>
    </row>
    <row r="621" spans="11:14" x14ac:dyDescent="0.25">
      <c r="K621">
        <v>615</v>
      </c>
      <c r="L621" t="s">
        <v>45</v>
      </c>
      <c r="M621">
        <v>9</v>
      </c>
      <c r="N621" s="6"/>
    </row>
    <row r="622" spans="11:14" x14ac:dyDescent="0.25">
      <c r="K622">
        <v>616</v>
      </c>
      <c r="L622" t="s">
        <v>53</v>
      </c>
      <c r="M622">
        <v>10</v>
      </c>
      <c r="N622" s="6"/>
    </row>
    <row r="623" spans="11:14" x14ac:dyDescent="0.25">
      <c r="K623">
        <v>617</v>
      </c>
      <c r="L623" t="s">
        <v>53</v>
      </c>
      <c r="M623">
        <v>6</v>
      </c>
      <c r="N623" s="6"/>
    </row>
    <row r="624" spans="11:14" x14ac:dyDescent="0.25">
      <c r="K624">
        <v>618</v>
      </c>
      <c r="L624" t="s">
        <v>53</v>
      </c>
      <c r="M624">
        <v>8</v>
      </c>
      <c r="N624" s="6"/>
    </row>
    <row r="625" spans="11:14" x14ac:dyDescent="0.25">
      <c r="K625">
        <v>619</v>
      </c>
      <c r="L625" t="s">
        <v>45</v>
      </c>
      <c r="M625">
        <v>3</v>
      </c>
      <c r="N625" s="6"/>
    </row>
    <row r="626" spans="11:14" x14ac:dyDescent="0.25">
      <c r="K626">
        <v>620</v>
      </c>
      <c r="L626" t="s">
        <v>53</v>
      </c>
      <c r="M626">
        <v>6</v>
      </c>
      <c r="N626" s="6"/>
    </row>
    <row r="627" spans="11:14" x14ac:dyDescent="0.25">
      <c r="K627">
        <v>621</v>
      </c>
      <c r="L627" t="s">
        <v>45</v>
      </c>
      <c r="M627">
        <v>5</v>
      </c>
      <c r="N627" s="6"/>
    </row>
    <row r="628" spans="11:14" x14ac:dyDescent="0.25">
      <c r="K628">
        <v>622</v>
      </c>
      <c r="L628" t="s">
        <v>53</v>
      </c>
      <c r="M628">
        <v>10</v>
      </c>
      <c r="N628" s="6"/>
    </row>
    <row r="629" spans="11:14" x14ac:dyDescent="0.25">
      <c r="K629">
        <v>623</v>
      </c>
      <c r="L629" t="s">
        <v>45</v>
      </c>
      <c r="M629">
        <v>12</v>
      </c>
      <c r="N629" s="6"/>
    </row>
    <row r="630" spans="11:14" x14ac:dyDescent="0.25">
      <c r="K630">
        <v>624</v>
      </c>
      <c r="L630" t="s">
        <v>53</v>
      </c>
      <c r="M630">
        <v>8</v>
      </c>
      <c r="N630" s="6"/>
    </row>
    <row r="631" spans="11:14" x14ac:dyDescent="0.25">
      <c r="K631">
        <v>625</v>
      </c>
      <c r="L631" t="s">
        <v>45</v>
      </c>
      <c r="M631">
        <v>6</v>
      </c>
      <c r="N631" s="6"/>
    </row>
    <row r="632" spans="11:14" x14ac:dyDescent="0.25">
      <c r="K632">
        <v>626</v>
      </c>
      <c r="L632" t="s">
        <v>53</v>
      </c>
      <c r="M632">
        <v>9</v>
      </c>
      <c r="N632" s="6"/>
    </row>
    <row r="633" spans="11:14" x14ac:dyDescent="0.25">
      <c r="K633">
        <v>627</v>
      </c>
      <c r="L633" t="s">
        <v>53</v>
      </c>
      <c r="M633">
        <v>7</v>
      </c>
      <c r="N633" s="6"/>
    </row>
    <row r="634" spans="11:14" x14ac:dyDescent="0.25">
      <c r="K634">
        <v>628</v>
      </c>
      <c r="L634" t="s">
        <v>45</v>
      </c>
      <c r="M634">
        <v>3</v>
      </c>
      <c r="N634" s="6"/>
    </row>
    <row r="635" spans="11:14" x14ac:dyDescent="0.25">
      <c r="K635">
        <v>629</v>
      </c>
      <c r="L635" t="s">
        <v>53</v>
      </c>
      <c r="M635">
        <v>9</v>
      </c>
      <c r="N635" s="6"/>
    </row>
    <row r="636" spans="11:14" x14ac:dyDescent="0.25">
      <c r="K636">
        <v>630</v>
      </c>
      <c r="L636" t="s">
        <v>45</v>
      </c>
      <c r="M636">
        <v>6</v>
      </c>
      <c r="N636" s="6"/>
    </row>
    <row r="637" spans="11:14" x14ac:dyDescent="0.25">
      <c r="K637">
        <v>631</v>
      </c>
      <c r="L637" t="s">
        <v>53</v>
      </c>
      <c r="M637">
        <v>7</v>
      </c>
      <c r="N637" s="6"/>
    </row>
    <row r="638" spans="11:14" x14ac:dyDescent="0.25">
      <c r="K638">
        <v>632</v>
      </c>
      <c r="L638" t="s">
        <v>45</v>
      </c>
      <c r="M638">
        <v>11</v>
      </c>
      <c r="N638" s="6"/>
    </row>
    <row r="639" spans="11:14" x14ac:dyDescent="0.25">
      <c r="K639">
        <v>633</v>
      </c>
      <c r="L639" t="s">
        <v>45</v>
      </c>
      <c r="M639">
        <v>3</v>
      </c>
      <c r="N639" s="6"/>
    </row>
    <row r="640" spans="11:14" x14ac:dyDescent="0.25">
      <c r="K640">
        <v>634</v>
      </c>
      <c r="L640" t="s">
        <v>45</v>
      </c>
      <c r="M640">
        <v>9</v>
      </c>
      <c r="N640" s="6"/>
    </row>
    <row r="641" spans="11:14" x14ac:dyDescent="0.25">
      <c r="K641">
        <v>635</v>
      </c>
      <c r="L641" t="s">
        <v>53</v>
      </c>
      <c r="M641">
        <v>8</v>
      </c>
      <c r="N641" s="6"/>
    </row>
    <row r="642" spans="11:14" x14ac:dyDescent="0.25">
      <c r="K642">
        <v>636</v>
      </c>
      <c r="L642" t="s">
        <v>53</v>
      </c>
      <c r="M642">
        <v>8</v>
      </c>
      <c r="N642" s="6"/>
    </row>
    <row r="643" spans="11:14" x14ac:dyDescent="0.25">
      <c r="K643">
        <v>637</v>
      </c>
      <c r="L643" t="s">
        <v>45</v>
      </c>
      <c r="M643">
        <v>3</v>
      </c>
      <c r="N643" s="6"/>
    </row>
    <row r="644" spans="11:14" x14ac:dyDescent="0.25">
      <c r="K644">
        <v>638</v>
      </c>
      <c r="L644" t="s">
        <v>45</v>
      </c>
      <c r="M644">
        <v>3</v>
      </c>
      <c r="N644" s="6"/>
    </row>
    <row r="645" spans="11:14" x14ac:dyDescent="0.25">
      <c r="K645">
        <v>639</v>
      </c>
      <c r="L645" t="s">
        <v>45</v>
      </c>
      <c r="M645">
        <v>9</v>
      </c>
      <c r="N645" s="6"/>
    </row>
    <row r="646" spans="11:14" x14ac:dyDescent="0.25">
      <c r="K646">
        <v>640</v>
      </c>
      <c r="L646" t="s">
        <v>45</v>
      </c>
      <c r="M646">
        <v>9</v>
      </c>
      <c r="N646" s="6"/>
    </row>
    <row r="647" spans="11:14" x14ac:dyDescent="0.25">
      <c r="K647">
        <v>641</v>
      </c>
      <c r="L647" t="s">
        <v>45</v>
      </c>
      <c r="M647">
        <v>11</v>
      </c>
      <c r="N647" s="6"/>
    </row>
    <row r="648" spans="11:14" x14ac:dyDescent="0.25">
      <c r="K648">
        <v>642</v>
      </c>
      <c r="L648" t="s">
        <v>53</v>
      </c>
      <c r="M648">
        <v>6</v>
      </c>
      <c r="N648" s="6"/>
    </row>
    <row r="649" spans="11:14" x14ac:dyDescent="0.25">
      <c r="K649">
        <v>643</v>
      </c>
      <c r="L649" t="s">
        <v>53</v>
      </c>
      <c r="M649">
        <v>6</v>
      </c>
      <c r="N649" s="6"/>
    </row>
    <row r="650" spans="11:14" x14ac:dyDescent="0.25">
      <c r="K650">
        <v>644</v>
      </c>
      <c r="L650" t="s">
        <v>53</v>
      </c>
      <c r="M650">
        <v>7</v>
      </c>
      <c r="N650" s="6"/>
    </row>
    <row r="651" spans="11:14" x14ac:dyDescent="0.25">
      <c r="K651">
        <v>645</v>
      </c>
      <c r="L651" t="s">
        <v>53</v>
      </c>
      <c r="M651">
        <v>7</v>
      </c>
      <c r="N651" s="6"/>
    </row>
    <row r="652" spans="11:14" x14ac:dyDescent="0.25">
      <c r="K652">
        <v>646</v>
      </c>
      <c r="L652" t="s">
        <v>45</v>
      </c>
      <c r="M652">
        <v>5</v>
      </c>
      <c r="N652" s="6"/>
    </row>
    <row r="653" spans="11:14" x14ac:dyDescent="0.25">
      <c r="K653">
        <v>647</v>
      </c>
      <c r="L653" t="s">
        <v>53</v>
      </c>
      <c r="M653">
        <v>10</v>
      </c>
      <c r="N653" s="6"/>
    </row>
    <row r="654" spans="11:14" x14ac:dyDescent="0.25">
      <c r="K654">
        <v>648</v>
      </c>
      <c r="L654" t="s">
        <v>45</v>
      </c>
      <c r="M654">
        <v>5</v>
      </c>
      <c r="N654" s="6"/>
    </row>
    <row r="655" spans="11:14" x14ac:dyDescent="0.25">
      <c r="K655">
        <v>649</v>
      </c>
      <c r="L655" t="s">
        <v>53</v>
      </c>
      <c r="M655">
        <v>8</v>
      </c>
      <c r="N655" s="6"/>
    </row>
    <row r="656" spans="11:14" x14ac:dyDescent="0.25">
      <c r="K656">
        <v>650</v>
      </c>
      <c r="L656" t="s">
        <v>45</v>
      </c>
      <c r="M656">
        <v>11</v>
      </c>
      <c r="N656" s="6"/>
    </row>
    <row r="657" spans="11:14" x14ac:dyDescent="0.25">
      <c r="K657">
        <v>651</v>
      </c>
      <c r="L657" t="s">
        <v>45</v>
      </c>
      <c r="M657">
        <v>5</v>
      </c>
      <c r="N657" s="6"/>
    </row>
    <row r="658" spans="11:14" x14ac:dyDescent="0.25">
      <c r="K658">
        <v>652</v>
      </c>
      <c r="L658" t="s">
        <v>53</v>
      </c>
      <c r="M658">
        <v>5</v>
      </c>
      <c r="N658" s="6"/>
    </row>
    <row r="659" spans="11:14" x14ac:dyDescent="0.25">
      <c r="K659">
        <v>653</v>
      </c>
      <c r="L659" t="s">
        <v>45</v>
      </c>
      <c r="M659">
        <v>9</v>
      </c>
      <c r="N659" s="6"/>
    </row>
    <row r="660" spans="11:14" x14ac:dyDescent="0.25">
      <c r="K660">
        <v>654</v>
      </c>
      <c r="L660" t="s">
        <v>45</v>
      </c>
      <c r="M660">
        <v>10</v>
      </c>
      <c r="N660" s="6"/>
    </row>
    <row r="661" spans="11:14" x14ac:dyDescent="0.25">
      <c r="K661">
        <v>655</v>
      </c>
      <c r="L661" t="s">
        <v>53</v>
      </c>
      <c r="M661">
        <v>4</v>
      </c>
      <c r="N661" s="6"/>
    </row>
    <row r="662" spans="11:14" x14ac:dyDescent="0.25">
      <c r="K662">
        <v>656</v>
      </c>
      <c r="L662" t="s">
        <v>53</v>
      </c>
      <c r="M662">
        <v>8</v>
      </c>
      <c r="N662" s="6"/>
    </row>
    <row r="663" spans="11:14" x14ac:dyDescent="0.25">
      <c r="K663">
        <v>657</v>
      </c>
      <c r="L663" t="s">
        <v>53</v>
      </c>
      <c r="M663">
        <v>7</v>
      </c>
      <c r="N663" s="6"/>
    </row>
    <row r="664" spans="11:14" x14ac:dyDescent="0.25">
      <c r="K664">
        <v>658</v>
      </c>
      <c r="L664" t="s">
        <v>53</v>
      </c>
      <c r="M664">
        <v>8</v>
      </c>
      <c r="N664" s="6"/>
    </row>
    <row r="665" spans="11:14" x14ac:dyDescent="0.25">
      <c r="K665">
        <v>659</v>
      </c>
      <c r="L665" t="s">
        <v>53</v>
      </c>
      <c r="M665">
        <v>6</v>
      </c>
      <c r="N665" s="6"/>
    </row>
    <row r="666" spans="11:14" x14ac:dyDescent="0.25">
      <c r="K666">
        <v>660</v>
      </c>
      <c r="L666" t="s">
        <v>53</v>
      </c>
      <c r="M666">
        <v>5</v>
      </c>
      <c r="N666" s="6"/>
    </row>
    <row r="667" spans="11:14" x14ac:dyDescent="0.25">
      <c r="K667">
        <v>661</v>
      </c>
      <c r="L667" t="s">
        <v>53</v>
      </c>
      <c r="M667">
        <v>8</v>
      </c>
      <c r="N667" s="6"/>
    </row>
    <row r="668" spans="11:14" x14ac:dyDescent="0.25">
      <c r="K668">
        <v>662</v>
      </c>
      <c r="L668" t="s">
        <v>53</v>
      </c>
      <c r="M668">
        <v>6</v>
      </c>
      <c r="N668" s="6"/>
    </row>
    <row r="669" spans="11:14" x14ac:dyDescent="0.25">
      <c r="K669">
        <v>663</v>
      </c>
      <c r="L669" t="s">
        <v>45</v>
      </c>
      <c r="M669">
        <v>9</v>
      </c>
      <c r="N669" s="6"/>
    </row>
    <row r="670" spans="11:14" x14ac:dyDescent="0.25">
      <c r="K670">
        <v>664</v>
      </c>
      <c r="L670" t="s">
        <v>53</v>
      </c>
      <c r="M670">
        <v>7</v>
      </c>
      <c r="N670" s="6"/>
    </row>
    <row r="671" spans="11:14" x14ac:dyDescent="0.25">
      <c r="K671">
        <v>665</v>
      </c>
      <c r="L671" t="s">
        <v>45</v>
      </c>
      <c r="M671">
        <v>9</v>
      </c>
      <c r="N671" s="6"/>
    </row>
    <row r="672" spans="11:14" x14ac:dyDescent="0.25">
      <c r="K672">
        <v>666</v>
      </c>
      <c r="L672" t="s">
        <v>53</v>
      </c>
      <c r="M672">
        <v>7</v>
      </c>
      <c r="N672" s="6"/>
    </row>
    <row r="673" spans="11:14" x14ac:dyDescent="0.25">
      <c r="K673">
        <v>667</v>
      </c>
      <c r="L673" t="s">
        <v>53</v>
      </c>
      <c r="M673">
        <v>7</v>
      </c>
      <c r="N673" s="6"/>
    </row>
    <row r="674" spans="11:14" x14ac:dyDescent="0.25">
      <c r="K674">
        <v>668</v>
      </c>
      <c r="L674" t="s">
        <v>53</v>
      </c>
      <c r="M674">
        <v>6</v>
      </c>
      <c r="N674" s="6"/>
    </row>
    <row r="675" spans="11:14" x14ac:dyDescent="0.25">
      <c r="K675">
        <v>669</v>
      </c>
      <c r="L675" t="s">
        <v>45</v>
      </c>
      <c r="M675">
        <v>6</v>
      </c>
      <c r="N675" s="6"/>
    </row>
    <row r="676" spans="11:14" x14ac:dyDescent="0.25">
      <c r="K676">
        <v>670</v>
      </c>
      <c r="L676" t="s">
        <v>45</v>
      </c>
      <c r="M676">
        <v>12</v>
      </c>
      <c r="N676" s="6"/>
    </row>
    <row r="677" spans="11:14" x14ac:dyDescent="0.25">
      <c r="K677">
        <v>671</v>
      </c>
      <c r="L677" t="s">
        <v>53</v>
      </c>
      <c r="M677">
        <v>9</v>
      </c>
      <c r="N677" s="6"/>
    </row>
    <row r="678" spans="11:14" x14ac:dyDescent="0.25">
      <c r="K678">
        <v>672</v>
      </c>
      <c r="L678" t="s">
        <v>53</v>
      </c>
      <c r="M678">
        <v>5</v>
      </c>
      <c r="N678" s="6"/>
    </row>
    <row r="679" spans="11:14" x14ac:dyDescent="0.25">
      <c r="K679">
        <v>673</v>
      </c>
      <c r="L679" t="s">
        <v>45</v>
      </c>
      <c r="M679">
        <v>11</v>
      </c>
      <c r="N679" s="6"/>
    </row>
    <row r="680" spans="11:14" x14ac:dyDescent="0.25">
      <c r="K680">
        <v>674</v>
      </c>
      <c r="L680" t="s">
        <v>45</v>
      </c>
      <c r="M680">
        <v>3</v>
      </c>
      <c r="N680" s="6"/>
    </row>
    <row r="681" spans="11:14" x14ac:dyDescent="0.25">
      <c r="K681">
        <v>675</v>
      </c>
      <c r="L681" t="s">
        <v>45</v>
      </c>
      <c r="M681">
        <v>8</v>
      </c>
      <c r="N681" s="6"/>
    </row>
    <row r="682" spans="11:14" x14ac:dyDescent="0.25">
      <c r="K682">
        <v>676</v>
      </c>
      <c r="L682" t="s">
        <v>53</v>
      </c>
      <c r="M682">
        <v>9</v>
      </c>
      <c r="N682" s="6"/>
    </row>
    <row r="683" spans="11:14" x14ac:dyDescent="0.25">
      <c r="K683">
        <v>677</v>
      </c>
      <c r="L683" t="s">
        <v>45</v>
      </c>
      <c r="M683">
        <v>2</v>
      </c>
      <c r="N683" s="6"/>
    </row>
    <row r="684" spans="11:14" x14ac:dyDescent="0.25">
      <c r="K684">
        <v>678</v>
      </c>
      <c r="L684" t="s">
        <v>45</v>
      </c>
      <c r="M684">
        <v>8</v>
      </c>
      <c r="N684" s="6"/>
    </row>
    <row r="685" spans="11:14" x14ac:dyDescent="0.25">
      <c r="K685">
        <v>679</v>
      </c>
      <c r="L685" t="s">
        <v>53</v>
      </c>
      <c r="M685">
        <v>7</v>
      </c>
      <c r="N685" s="6"/>
    </row>
    <row r="686" spans="11:14" x14ac:dyDescent="0.25">
      <c r="K686">
        <v>680</v>
      </c>
      <c r="L686" t="s">
        <v>45</v>
      </c>
      <c r="M686">
        <v>8</v>
      </c>
      <c r="N686" s="6"/>
    </row>
    <row r="687" spans="11:14" x14ac:dyDescent="0.25">
      <c r="K687">
        <v>681</v>
      </c>
      <c r="L687" t="s">
        <v>53</v>
      </c>
      <c r="M687">
        <v>7</v>
      </c>
      <c r="N687" s="6"/>
    </row>
    <row r="688" spans="11:14" x14ac:dyDescent="0.25">
      <c r="K688">
        <v>682</v>
      </c>
      <c r="L688" t="s">
        <v>45</v>
      </c>
      <c r="M688">
        <v>11</v>
      </c>
      <c r="N688" s="6"/>
    </row>
    <row r="689" spans="11:14" x14ac:dyDescent="0.25">
      <c r="K689">
        <v>683</v>
      </c>
      <c r="L689" t="s">
        <v>53</v>
      </c>
      <c r="M689">
        <v>7</v>
      </c>
      <c r="N689" s="6"/>
    </row>
    <row r="690" spans="11:14" x14ac:dyDescent="0.25">
      <c r="K690">
        <v>684</v>
      </c>
      <c r="L690" t="s">
        <v>53</v>
      </c>
      <c r="M690">
        <v>4</v>
      </c>
      <c r="N690" s="6"/>
    </row>
    <row r="691" spans="11:14" x14ac:dyDescent="0.25">
      <c r="K691">
        <v>685</v>
      </c>
      <c r="L691" t="s">
        <v>53</v>
      </c>
      <c r="M691">
        <v>8</v>
      </c>
      <c r="N691" s="6"/>
    </row>
    <row r="692" spans="11:14" x14ac:dyDescent="0.25">
      <c r="K692">
        <v>686</v>
      </c>
      <c r="L692" t="s">
        <v>45</v>
      </c>
      <c r="M692">
        <v>10</v>
      </c>
      <c r="N692" s="6"/>
    </row>
    <row r="693" spans="11:14" x14ac:dyDescent="0.25">
      <c r="K693">
        <v>687</v>
      </c>
      <c r="L693" t="s">
        <v>53</v>
      </c>
      <c r="M693">
        <v>8</v>
      </c>
      <c r="N693" s="6"/>
    </row>
    <row r="694" spans="11:14" x14ac:dyDescent="0.25">
      <c r="K694">
        <v>688</v>
      </c>
      <c r="L694" t="s">
        <v>45</v>
      </c>
      <c r="M694">
        <v>6</v>
      </c>
      <c r="N694" s="6"/>
    </row>
    <row r="695" spans="11:14" x14ac:dyDescent="0.25">
      <c r="K695">
        <v>689</v>
      </c>
      <c r="L695" t="s">
        <v>45</v>
      </c>
      <c r="M695">
        <v>5</v>
      </c>
      <c r="N695" s="6"/>
    </row>
    <row r="696" spans="11:14" x14ac:dyDescent="0.25">
      <c r="K696">
        <v>690</v>
      </c>
      <c r="L696" t="s">
        <v>53</v>
      </c>
      <c r="M696">
        <v>7</v>
      </c>
      <c r="N696" s="6"/>
    </row>
    <row r="697" spans="11:14" x14ac:dyDescent="0.25">
      <c r="K697">
        <v>691</v>
      </c>
      <c r="L697" t="s">
        <v>53</v>
      </c>
      <c r="M697">
        <v>6</v>
      </c>
      <c r="N697" s="6"/>
    </row>
    <row r="698" spans="11:14" x14ac:dyDescent="0.25">
      <c r="K698">
        <v>692</v>
      </c>
      <c r="L698" t="s">
        <v>53</v>
      </c>
      <c r="M698">
        <v>8</v>
      </c>
      <c r="N698" s="6"/>
    </row>
    <row r="699" spans="11:14" x14ac:dyDescent="0.25">
      <c r="K699">
        <v>693</v>
      </c>
      <c r="L699" t="s">
        <v>45</v>
      </c>
      <c r="M699">
        <v>11</v>
      </c>
      <c r="N699" s="6"/>
    </row>
    <row r="700" spans="11:14" x14ac:dyDescent="0.25">
      <c r="K700">
        <v>694</v>
      </c>
      <c r="L700" t="s">
        <v>53</v>
      </c>
      <c r="M700">
        <v>4</v>
      </c>
      <c r="N700" s="6"/>
    </row>
    <row r="701" spans="11:14" x14ac:dyDescent="0.25">
      <c r="K701">
        <v>695</v>
      </c>
      <c r="L701" t="s">
        <v>53</v>
      </c>
      <c r="M701">
        <v>8</v>
      </c>
      <c r="N701" s="6"/>
    </row>
    <row r="702" spans="11:14" x14ac:dyDescent="0.25">
      <c r="K702">
        <v>696</v>
      </c>
      <c r="L702" t="s">
        <v>53</v>
      </c>
      <c r="M702">
        <v>6</v>
      </c>
      <c r="N702" s="6"/>
    </row>
    <row r="703" spans="11:14" x14ac:dyDescent="0.25">
      <c r="K703">
        <v>697</v>
      </c>
      <c r="L703" t="s">
        <v>53</v>
      </c>
      <c r="M703">
        <v>4</v>
      </c>
      <c r="N703" s="6"/>
    </row>
    <row r="704" spans="11:14" x14ac:dyDescent="0.25">
      <c r="K704">
        <v>698</v>
      </c>
      <c r="L704" t="s">
        <v>45</v>
      </c>
      <c r="M704">
        <v>8</v>
      </c>
      <c r="N704" s="6"/>
    </row>
    <row r="705" spans="11:14" x14ac:dyDescent="0.25">
      <c r="K705">
        <v>699</v>
      </c>
      <c r="L705" t="s">
        <v>53</v>
      </c>
      <c r="M705">
        <v>4</v>
      </c>
      <c r="N705" s="6"/>
    </row>
    <row r="706" spans="11:14" x14ac:dyDescent="0.25">
      <c r="K706">
        <v>700</v>
      </c>
      <c r="L706" t="s">
        <v>53</v>
      </c>
      <c r="M706">
        <v>10</v>
      </c>
      <c r="N706" s="6"/>
    </row>
    <row r="707" spans="11:14" x14ac:dyDescent="0.25">
      <c r="K707">
        <v>701</v>
      </c>
      <c r="L707" t="s">
        <v>45</v>
      </c>
      <c r="M707">
        <v>9</v>
      </c>
      <c r="N707" s="6"/>
    </row>
    <row r="708" spans="11:14" x14ac:dyDescent="0.25">
      <c r="K708">
        <v>702</v>
      </c>
      <c r="L708" t="s">
        <v>53</v>
      </c>
      <c r="M708">
        <v>10</v>
      </c>
      <c r="N708" s="6"/>
    </row>
    <row r="709" spans="11:14" x14ac:dyDescent="0.25">
      <c r="K709">
        <v>703</v>
      </c>
      <c r="L709" t="s">
        <v>45</v>
      </c>
      <c r="M709">
        <v>9</v>
      </c>
      <c r="N709" s="6"/>
    </row>
    <row r="710" spans="11:14" x14ac:dyDescent="0.25">
      <c r="K710">
        <v>704</v>
      </c>
      <c r="L710" t="s">
        <v>53</v>
      </c>
      <c r="M710">
        <v>6</v>
      </c>
      <c r="N710" s="6"/>
    </row>
    <row r="711" spans="11:14" x14ac:dyDescent="0.25">
      <c r="K711">
        <v>705</v>
      </c>
      <c r="L711" t="s">
        <v>45</v>
      </c>
      <c r="M711">
        <v>9</v>
      </c>
      <c r="N711" s="6"/>
    </row>
    <row r="712" spans="11:14" x14ac:dyDescent="0.25">
      <c r="K712">
        <v>706</v>
      </c>
      <c r="L712" t="s">
        <v>53</v>
      </c>
      <c r="M712">
        <v>6</v>
      </c>
      <c r="N712" s="6"/>
    </row>
    <row r="713" spans="11:14" x14ac:dyDescent="0.25">
      <c r="K713">
        <v>707</v>
      </c>
      <c r="L713" t="s">
        <v>53</v>
      </c>
      <c r="M713">
        <v>10</v>
      </c>
      <c r="N713" s="6"/>
    </row>
    <row r="714" spans="11:14" x14ac:dyDescent="0.25">
      <c r="K714">
        <v>708</v>
      </c>
      <c r="L714" t="s">
        <v>53</v>
      </c>
      <c r="M714">
        <v>5</v>
      </c>
      <c r="N714" s="6"/>
    </row>
    <row r="715" spans="11:14" x14ac:dyDescent="0.25">
      <c r="K715">
        <v>709</v>
      </c>
      <c r="L715" t="s">
        <v>53</v>
      </c>
      <c r="M715">
        <v>4</v>
      </c>
      <c r="N715" s="6"/>
    </row>
    <row r="716" spans="11:14" x14ac:dyDescent="0.25">
      <c r="K716">
        <v>710</v>
      </c>
      <c r="L716" t="s">
        <v>53</v>
      </c>
      <c r="M716">
        <v>4</v>
      </c>
      <c r="N716" s="6"/>
    </row>
    <row r="717" spans="11:14" x14ac:dyDescent="0.25">
      <c r="K717">
        <v>711</v>
      </c>
      <c r="L717" t="s">
        <v>53</v>
      </c>
      <c r="M717">
        <v>5</v>
      </c>
      <c r="N717" s="6"/>
    </row>
    <row r="718" spans="11:14" x14ac:dyDescent="0.25">
      <c r="K718">
        <v>712</v>
      </c>
      <c r="L718" t="s">
        <v>53</v>
      </c>
      <c r="M718">
        <v>5</v>
      </c>
      <c r="N718" s="6"/>
    </row>
    <row r="719" spans="11:14" x14ac:dyDescent="0.25">
      <c r="K719">
        <v>713</v>
      </c>
      <c r="L719" t="s">
        <v>45</v>
      </c>
      <c r="M719">
        <v>2</v>
      </c>
      <c r="N719" s="6"/>
    </row>
    <row r="720" spans="11:14" x14ac:dyDescent="0.25">
      <c r="K720">
        <v>714</v>
      </c>
      <c r="L720" t="s">
        <v>53</v>
      </c>
      <c r="M720">
        <v>4</v>
      </c>
      <c r="N720" s="6"/>
    </row>
    <row r="721" spans="11:14" x14ac:dyDescent="0.25">
      <c r="K721">
        <v>715</v>
      </c>
      <c r="L721" t="s">
        <v>45</v>
      </c>
      <c r="M721">
        <v>3</v>
      </c>
      <c r="N721" s="6"/>
    </row>
    <row r="722" spans="11:14" x14ac:dyDescent="0.25">
      <c r="K722">
        <v>716</v>
      </c>
      <c r="L722" t="s">
        <v>53</v>
      </c>
      <c r="M722">
        <v>4</v>
      </c>
      <c r="N722" s="6"/>
    </row>
    <row r="723" spans="11:14" x14ac:dyDescent="0.25">
      <c r="K723">
        <v>717</v>
      </c>
      <c r="L723" t="s">
        <v>53</v>
      </c>
      <c r="M723">
        <v>10</v>
      </c>
      <c r="N723" s="6"/>
    </row>
    <row r="724" spans="11:14" x14ac:dyDescent="0.25">
      <c r="K724">
        <v>718</v>
      </c>
      <c r="L724" t="s">
        <v>53</v>
      </c>
      <c r="M724">
        <v>10</v>
      </c>
      <c r="N724" s="6"/>
    </row>
    <row r="725" spans="11:14" x14ac:dyDescent="0.25">
      <c r="K725">
        <v>719</v>
      </c>
      <c r="L725" t="s">
        <v>45</v>
      </c>
      <c r="M725">
        <v>4</v>
      </c>
      <c r="N725" s="6"/>
    </row>
    <row r="726" spans="11:14" x14ac:dyDescent="0.25">
      <c r="K726">
        <v>720</v>
      </c>
      <c r="L726" t="s">
        <v>53</v>
      </c>
      <c r="M726">
        <v>4</v>
      </c>
      <c r="N726" s="6"/>
    </row>
    <row r="727" spans="11:14" x14ac:dyDescent="0.25">
      <c r="K727">
        <v>721</v>
      </c>
      <c r="L727" t="s">
        <v>53</v>
      </c>
      <c r="M727">
        <v>7</v>
      </c>
      <c r="N727" s="6"/>
    </row>
    <row r="728" spans="11:14" x14ac:dyDescent="0.25">
      <c r="K728">
        <v>722</v>
      </c>
      <c r="L728" t="s">
        <v>45</v>
      </c>
      <c r="M728">
        <v>5</v>
      </c>
      <c r="N728" s="6"/>
    </row>
    <row r="729" spans="11:14" x14ac:dyDescent="0.25">
      <c r="K729">
        <v>723</v>
      </c>
      <c r="L729" t="s">
        <v>45</v>
      </c>
      <c r="M729">
        <v>6</v>
      </c>
      <c r="N729" s="6"/>
    </row>
    <row r="730" spans="11:14" x14ac:dyDescent="0.25">
      <c r="K730">
        <v>724</v>
      </c>
      <c r="L730" t="s">
        <v>53</v>
      </c>
      <c r="M730">
        <v>6</v>
      </c>
      <c r="N730" s="6"/>
    </row>
    <row r="731" spans="11:14" x14ac:dyDescent="0.25">
      <c r="K731">
        <v>725</v>
      </c>
      <c r="L731" t="s">
        <v>45</v>
      </c>
      <c r="M731">
        <v>6</v>
      </c>
      <c r="N731" s="6"/>
    </row>
    <row r="732" spans="11:14" x14ac:dyDescent="0.25">
      <c r="K732">
        <v>726</v>
      </c>
      <c r="L732" t="s">
        <v>53</v>
      </c>
      <c r="M732">
        <v>7</v>
      </c>
      <c r="N732" s="6"/>
    </row>
    <row r="733" spans="11:14" x14ac:dyDescent="0.25">
      <c r="K733">
        <v>727</v>
      </c>
      <c r="L733" t="s">
        <v>45</v>
      </c>
      <c r="M733">
        <v>6</v>
      </c>
      <c r="N733" s="6"/>
    </row>
    <row r="734" spans="11:14" x14ac:dyDescent="0.25">
      <c r="K734">
        <v>728</v>
      </c>
      <c r="L734" t="s">
        <v>53</v>
      </c>
      <c r="M734">
        <v>9</v>
      </c>
      <c r="N734" s="6"/>
    </row>
    <row r="735" spans="11:14" x14ac:dyDescent="0.25">
      <c r="K735">
        <v>729</v>
      </c>
      <c r="L735" t="s">
        <v>53</v>
      </c>
      <c r="M735">
        <v>5</v>
      </c>
      <c r="N735" s="6"/>
    </row>
    <row r="736" spans="11:14" x14ac:dyDescent="0.25">
      <c r="K736">
        <v>730</v>
      </c>
      <c r="L736" t="s">
        <v>53</v>
      </c>
      <c r="M736">
        <v>7</v>
      </c>
      <c r="N736" s="6"/>
    </row>
    <row r="737" spans="11:14" x14ac:dyDescent="0.25">
      <c r="K737">
        <v>731</v>
      </c>
      <c r="L737" t="s">
        <v>53</v>
      </c>
      <c r="M737">
        <v>6</v>
      </c>
      <c r="N737" s="6"/>
    </row>
    <row r="738" spans="11:14" x14ac:dyDescent="0.25">
      <c r="K738">
        <v>732</v>
      </c>
      <c r="L738" t="s">
        <v>53</v>
      </c>
      <c r="M738">
        <v>7</v>
      </c>
      <c r="N738" s="6"/>
    </row>
    <row r="739" spans="11:14" x14ac:dyDescent="0.25">
      <c r="K739">
        <v>733</v>
      </c>
      <c r="L739" t="s">
        <v>45</v>
      </c>
      <c r="M739">
        <v>5</v>
      </c>
      <c r="N739" s="6"/>
    </row>
    <row r="740" spans="11:14" x14ac:dyDescent="0.25">
      <c r="K740">
        <v>734</v>
      </c>
      <c r="L740" t="s">
        <v>45</v>
      </c>
      <c r="M740">
        <v>3</v>
      </c>
      <c r="N740" s="6"/>
    </row>
    <row r="741" spans="11:14" x14ac:dyDescent="0.25">
      <c r="K741">
        <v>735</v>
      </c>
      <c r="L741" t="s">
        <v>53</v>
      </c>
      <c r="M741">
        <v>6</v>
      </c>
      <c r="N741" s="6"/>
    </row>
    <row r="742" spans="11:14" x14ac:dyDescent="0.25">
      <c r="K742">
        <v>736</v>
      </c>
      <c r="L742" t="s">
        <v>53</v>
      </c>
      <c r="M742">
        <v>7</v>
      </c>
      <c r="N742" s="6"/>
    </row>
    <row r="743" spans="11:14" x14ac:dyDescent="0.25">
      <c r="K743">
        <v>737</v>
      </c>
      <c r="L743" t="s">
        <v>53</v>
      </c>
      <c r="M743">
        <v>6</v>
      </c>
      <c r="N743" s="6"/>
    </row>
    <row r="744" spans="11:14" x14ac:dyDescent="0.25">
      <c r="K744">
        <v>738</v>
      </c>
      <c r="L744" t="s">
        <v>53</v>
      </c>
      <c r="M744">
        <v>8</v>
      </c>
      <c r="N744" s="6"/>
    </row>
    <row r="745" spans="11:14" x14ac:dyDescent="0.25">
      <c r="K745">
        <v>739</v>
      </c>
      <c r="L745" t="s">
        <v>53</v>
      </c>
      <c r="M745">
        <v>6</v>
      </c>
      <c r="N745" s="6"/>
    </row>
    <row r="746" spans="11:14" x14ac:dyDescent="0.25">
      <c r="K746">
        <v>740</v>
      </c>
      <c r="L746" t="s">
        <v>53</v>
      </c>
      <c r="M746">
        <v>10</v>
      </c>
      <c r="N746" s="6"/>
    </row>
    <row r="747" spans="11:14" x14ac:dyDescent="0.25">
      <c r="K747">
        <v>741</v>
      </c>
      <c r="L747" t="s">
        <v>45</v>
      </c>
      <c r="M747">
        <v>10</v>
      </c>
      <c r="N747" s="6"/>
    </row>
    <row r="748" spans="11:14" x14ac:dyDescent="0.25">
      <c r="K748">
        <v>742</v>
      </c>
      <c r="L748" t="s">
        <v>53</v>
      </c>
      <c r="M748">
        <v>4</v>
      </c>
      <c r="N748" s="6"/>
    </row>
    <row r="749" spans="11:14" x14ac:dyDescent="0.25">
      <c r="K749">
        <v>743</v>
      </c>
      <c r="L749" t="s">
        <v>53</v>
      </c>
      <c r="M749">
        <v>5</v>
      </c>
      <c r="N749" s="6"/>
    </row>
    <row r="750" spans="11:14" x14ac:dyDescent="0.25">
      <c r="K750">
        <v>744</v>
      </c>
      <c r="L750" t="s">
        <v>45</v>
      </c>
      <c r="M750">
        <v>3</v>
      </c>
      <c r="N750" s="6"/>
    </row>
    <row r="751" spans="11:14" x14ac:dyDescent="0.25">
      <c r="K751">
        <v>745</v>
      </c>
      <c r="L751" t="s">
        <v>53</v>
      </c>
      <c r="M751">
        <v>6</v>
      </c>
      <c r="N751" s="6"/>
    </row>
    <row r="752" spans="11:14" x14ac:dyDescent="0.25">
      <c r="K752">
        <v>746</v>
      </c>
      <c r="L752" t="s">
        <v>53</v>
      </c>
      <c r="M752">
        <v>5</v>
      </c>
      <c r="N752" s="6"/>
    </row>
    <row r="753" spans="11:14" x14ac:dyDescent="0.25">
      <c r="K753">
        <v>747</v>
      </c>
      <c r="L753" t="s">
        <v>53</v>
      </c>
      <c r="M753">
        <v>4</v>
      </c>
      <c r="N753" s="6"/>
    </row>
    <row r="754" spans="11:14" x14ac:dyDescent="0.25">
      <c r="K754">
        <v>748</v>
      </c>
      <c r="L754" t="s">
        <v>53</v>
      </c>
      <c r="M754">
        <v>7</v>
      </c>
      <c r="N754" s="6"/>
    </row>
    <row r="755" spans="11:14" x14ac:dyDescent="0.25">
      <c r="K755">
        <v>749</v>
      </c>
      <c r="L755" t="s">
        <v>45</v>
      </c>
      <c r="M755">
        <v>9</v>
      </c>
      <c r="N755" s="6"/>
    </row>
    <row r="756" spans="11:14" x14ac:dyDescent="0.25">
      <c r="K756">
        <v>750</v>
      </c>
      <c r="L756" t="s">
        <v>53</v>
      </c>
      <c r="M756">
        <v>6</v>
      </c>
      <c r="N756" s="6"/>
    </row>
    <row r="757" spans="11:14" x14ac:dyDescent="0.25">
      <c r="K757">
        <v>751</v>
      </c>
      <c r="L757" t="s">
        <v>53</v>
      </c>
      <c r="M757">
        <v>6</v>
      </c>
      <c r="N757" s="6"/>
    </row>
    <row r="758" spans="11:14" x14ac:dyDescent="0.25">
      <c r="K758">
        <v>752</v>
      </c>
      <c r="L758" t="s">
        <v>53</v>
      </c>
      <c r="M758">
        <v>7</v>
      </c>
      <c r="N758" s="6"/>
    </row>
    <row r="759" spans="11:14" x14ac:dyDescent="0.25">
      <c r="K759">
        <v>753</v>
      </c>
      <c r="L759" t="s">
        <v>53</v>
      </c>
      <c r="M759">
        <v>7</v>
      </c>
      <c r="N759" s="6"/>
    </row>
    <row r="760" spans="11:14" x14ac:dyDescent="0.25">
      <c r="K760">
        <v>754</v>
      </c>
      <c r="L760" t="s">
        <v>53</v>
      </c>
      <c r="M760">
        <v>7</v>
      </c>
      <c r="N760" s="6"/>
    </row>
    <row r="761" spans="11:14" x14ac:dyDescent="0.25">
      <c r="K761">
        <v>755</v>
      </c>
      <c r="L761" t="s">
        <v>45</v>
      </c>
      <c r="M761">
        <v>5</v>
      </c>
      <c r="N761" s="6"/>
    </row>
    <row r="762" spans="11:14" x14ac:dyDescent="0.25">
      <c r="K762">
        <v>756</v>
      </c>
      <c r="L762" t="s">
        <v>45</v>
      </c>
      <c r="M762">
        <v>6</v>
      </c>
      <c r="N762" s="6"/>
    </row>
    <row r="763" spans="11:14" x14ac:dyDescent="0.25">
      <c r="K763">
        <v>757</v>
      </c>
      <c r="L763" t="s">
        <v>53</v>
      </c>
      <c r="M763">
        <v>8</v>
      </c>
      <c r="N763" s="6"/>
    </row>
    <row r="764" spans="11:14" x14ac:dyDescent="0.25">
      <c r="K764">
        <v>758</v>
      </c>
      <c r="L764" t="s">
        <v>45</v>
      </c>
      <c r="M764">
        <v>5</v>
      </c>
      <c r="N764" s="6"/>
    </row>
    <row r="765" spans="11:14" x14ac:dyDescent="0.25">
      <c r="K765">
        <v>759</v>
      </c>
      <c r="L765" t="s">
        <v>53</v>
      </c>
      <c r="M765">
        <v>4</v>
      </c>
      <c r="N765" s="6"/>
    </row>
    <row r="766" spans="11:14" x14ac:dyDescent="0.25">
      <c r="K766">
        <v>760</v>
      </c>
      <c r="L766" t="s">
        <v>45</v>
      </c>
      <c r="M766">
        <v>8</v>
      </c>
      <c r="N766" s="6"/>
    </row>
    <row r="767" spans="11:14" x14ac:dyDescent="0.25">
      <c r="K767">
        <v>761</v>
      </c>
      <c r="L767" t="s">
        <v>45</v>
      </c>
      <c r="M767">
        <v>9</v>
      </c>
      <c r="N767" s="6"/>
    </row>
    <row r="768" spans="11:14" x14ac:dyDescent="0.25">
      <c r="K768">
        <v>762</v>
      </c>
      <c r="L768" t="s">
        <v>45</v>
      </c>
      <c r="M768">
        <v>12</v>
      </c>
      <c r="N768" s="6"/>
    </row>
    <row r="769" spans="11:14" x14ac:dyDescent="0.25">
      <c r="K769">
        <v>763</v>
      </c>
      <c r="L769" t="s">
        <v>53</v>
      </c>
      <c r="M769">
        <v>4</v>
      </c>
      <c r="N769" s="6"/>
    </row>
    <row r="770" spans="11:14" x14ac:dyDescent="0.25">
      <c r="K770">
        <v>764</v>
      </c>
      <c r="L770" t="s">
        <v>45</v>
      </c>
      <c r="M770">
        <v>8</v>
      </c>
      <c r="N770" s="6"/>
    </row>
    <row r="771" spans="11:14" x14ac:dyDescent="0.25">
      <c r="K771">
        <v>765</v>
      </c>
      <c r="L771" t="s">
        <v>45</v>
      </c>
      <c r="M771">
        <v>12</v>
      </c>
      <c r="N771" s="6"/>
    </row>
    <row r="772" spans="11:14" x14ac:dyDescent="0.25">
      <c r="K772">
        <v>766</v>
      </c>
      <c r="L772" t="s">
        <v>45</v>
      </c>
      <c r="M772">
        <v>6</v>
      </c>
      <c r="N772" s="6"/>
    </row>
    <row r="773" spans="11:14" x14ac:dyDescent="0.25">
      <c r="K773">
        <v>767</v>
      </c>
      <c r="L773" t="s">
        <v>53</v>
      </c>
      <c r="M773">
        <v>7</v>
      </c>
      <c r="N773" s="6"/>
    </row>
    <row r="774" spans="11:14" x14ac:dyDescent="0.25">
      <c r="K774">
        <v>768</v>
      </c>
      <c r="L774" t="s">
        <v>53</v>
      </c>
      <c r="M774">
        <v>7</v>
      </c>
      <c r="N774" s="6"/>
    </row>
    <row r="775" spans="11:14" x14ac:dyDescent="0.25">
      <c r="K775">
        <v>769</v>
      </c>
      <c r="L775" t="s">
        <v>53</v>
      </c>
      <c r="M775">
        <v>7</v>
      </c>
      <c r="N775" s="6"/>
    </row>
    <row r="776" spans="11:14" x14ac:dyDescent="0.25">
      <c r="K776">
        <v>770</v>
      </c>
      <c r="L776" t="s">
        <v>45</v>
      </c>
      <c r="M776">
        <v>3</v>
      </c>
      <c r="N776" s="6"/>
    </row>
    <row r="777" spans="11:14" x14ac:dyDescent="0.25">
      <c r="K777">
        <v>771</v>
      </c>
      <c r="L777" t="s">
        <v>45</v>
      </c>
      <c r="M777">
        <v>11</v>
      </c>
      <c r="N777" s="6"/>
    </row>
    <row r="778" spans="11:14" x14ac:dyDescent="0.25">
      <c r="K778">
        <v>772</v>
      </c>
      <c r="L778" t="s">
        <v>53</v>
      </c>
      <c r="M778">
        <v>8</v>
      </c>
      <c r="N778" s="6"/>
    </row>
    <row r="779" spans="11:14" x14ac:dyDescent="0.25">
      <c r="K779">
        <v>773</v>
      </c>
      <c r="L779" t="s">
        <v>45</v>
      </c>
      <c r="M779">
        <v>3</v>
      </c>
      <c r="N779" s="6"/>
    </row>
    <row r="780" spans="11:14" x14ac:dyDescent="0.25">
      <c r="K780">
        <v>774</v>
      </c>
      <c r="L780" t="s">
        <v>53</v>
      </c>
      <c r="M780">
        <v>9</v>
      </c>
      <c r="N780" s="6"/>
    </row>
    <row r="781" spans="11:14" x14ac:dyDescent="0.25">
      <c r="K781">
        <v>775</v>
      </c>
      <c r="L781" t="s">
        <v>45</v>
      </c>
      <c r="M781">
        <v>3</v>
      </c>
      <c r="N781" s="6"/>
    </row>
    <row r="782" spans="11:14" x14ac:dyDescent="0.25">
      <c r="K782">
        <v>776</v>
      </c>
      <c r="L782" t="s">
        <v>45</v>
      </c>
      <c r="M782">
        <v>6</v>
      </c>
      <c r="N782" s="6"/>
    </row>
    <row r="783" spans="11:14" x14ac:dyDescent="0.25">
      <c r="K783">
        <v>777</v>
      </c>
      <c r="L783" t="s">
        <v>53</v>
      </c>
      <c r="M783">
        <v>7</v>
      </c>
      <c r="N783" s="6"/>
    </row>
    <row r="784" spans="11:14" x14ac:dyDescent="0.25">
      <c r="K784">
        <v>778</v>
      </c>
      <c r="L784" t="s">
        <v>53</v>
      </c>
      <c r="M784">
        <v>7</v>
      </c>
      <c r="N784" s="6"/>
    </row>
    <row r="785" spans="11:14" x14ac:dyDescent="0.25">
      <c r="K785">
        <v>779</v>
      </c>
      <c r="L785" t="s">
        <v>53</v>
      </c>
      <c r="M785">
        <v>8</v>
      </c>
      <c r="N785" s="6"/>
    </row>
    <row r="786" spans="11:14" x14ac:dyDescent="0.25">
      <c r="K786">
        <v>780</v>
      </c>
      <c r="L786" t="s">
        <v>53</v>
      </c>
      <c r="M786">
        <v>7</v>
      </c>
      <c r="N786" s="6"/>
    </row>
    <row r="787" spans="11:14" x14ac:dyDescent="0.25">
      <c r="K787">
        <v>781</v>
      </c>
      <c r="L787" t="s">
        <v>53</v>
      </c>
      <c r="M787">
        <v>7</v>
      </c>
      <c r="N787" s="6"/>
    </row>
    <row r="788" spans="11:14" x14ac:dyDescent="0.25">
      <c r="K788">
        <v>782</v>
      </c>
      <c r="L788" t="s">
        <v>53</v>
      </c>
      <c r="M788">
        <v>4</v>
      </c>
      <c r="N788" s="6"/>
    </row>
    <row r="789" spans="11:14" x14ac:dyDescent="0.25">
      <c r="K789">
        <v>783</v>
      </c>
      <c r="L789" t="s">
        <v>45</v>
      </c>
      <c r="M789">
        <v>12</v>
      </c>
      <c r="N789" s="6"/>
    </row>
    <row r="790" spans="11:14" x14ac:dyDescent="0.25">
      <c r="K790">
        <v>784</v>
      </c>
      <c r="L790" t="s">
        <v>53</v>
      </c>
      <c r="M790">
        <v>6</v>
      </c>
      <c r="N790" s="6"/>
    </row>
    <row r="791" spans="11:14" x14ac:dyDescent="0.25">
      <c r="K791">
        <v>785</v>
      </c>
      <c r="L791" t="s">
        <v>53</v>
      </c>
      <c r="M791">
        <v>7</v>
      </c>
      <c r="N791" s="6"/>
    </row>
    <row r="792" spans="11:14" x14ac:dyDescent="0.25">
      <c r="K792">
        <v>786</v>
      </c>
      <c r="L792" t="s">
        <v>53</v>
      </c>
      <c r="M792">
        <v>9</v>
      </c>
      <c r="N792" s="6"/>
    </row>
    <row r="793" spans="11:14" x14ac:dyDescent="0.25">
      <c r="K793">
        <v>787</v>
      </c>
      <c r="L793" t="s">
        <v>45</v>
      </c>
      <c r="M793">
        <v>8</v>
      </c>
      <c r="N793" s="6"/>
    </row>
    <row r="794" spans="11:14" x14ac:dyDescent="0.25">
      <c r="K794">
        <v>788</v>
      </c>
      <c r="L794" t="s">
        <v>53</v>
      </c>
      <c r="M794">
        <v>4</v>
      </c>
      <c r="N794" s="6"/>
    </row>
    <row r="795" spans="11:14" x14ac:dyDescent="0.25">
      <c r="K795">
        <v>789</v>
      </c>
      <c r="L795" t="s">
        <v>45</v>
      </c>
      <c r="M795">
        <v>11</v>
      </c>
      <c r="N795" s="6"/>
    </row>
    <row r="796" spans="11:14" x14ac:dyDescent="0.25">
      <c r="K796">
        <v>790</v>
      </c>
      <c r="L796" t="s">
        <v>45</v>
      </c>
      <c r="M796">
        <v>11</v>
      </c>
      <c r="N796" s="6"/>
    </row>
    <row r="797" spans="11:14" x14ac:dyDescent="0.25">
      <c r="K797">
        <v>791</v>
      </c>
      <c r="L797" t="s">
        <v>53</v>
      </c>
      <c r="M797">
        <v>7</v>
      </c>
      <c r="N797" s="6"/>
    </row>
    <row r="798" spans="11:14" x14ac:dyDescent="0.25">
      <c r="K798">
        <v>792</v>
      </c>
      <c r="L798" t="s">
        <v>53</v>
      </c>
      <c r="M798">
        <v>9</v>
      </c>
      <c r="N798" s="6"/>
    </row>
    <row r="799" spans="11:14" x14ac:dyDescent="0.25">
      <c r="K799">
        <v>793</v>
      </c>
      <c r="L799" t="s">
        <v>53</v>
      </c>
      <c r="M799">
        <v>8</v>
      </c>
      <c r="N799" s="6"/>
    </row>
    <row r="800" spans="11:14" x14ac:dyDescent="0.25">
      <c r="K800">
        <v>794</v>
      </c>
      <c r="L800" t="s">
        <v>53</v>
      </c>
      <c r="M800">
        <v>6</v>
      </c>
      <c r="N800" s="6"/>
    </row>
    <row r="801" spans="11:14" x14ac:dyDescent="0.25">
      <c r="K801">
        <v>795</v>
      </c>
      <c r="L801" t="s">
        <v>53</v>
      </c>
      <c r="M801">
        <v>7</v>
      </c>
      <c r="N801" s="6"/>
    </row>
    <row r="802" spans="11:14" x14ac:dyDescent="0.25">
      <c r="K802">
        <v>796</v>
      </c>
      <c r="L802" t="s">
        <v>45</v>
      </c>
      <c r="M802">
        <v>9</v>
      </c>
      <c r="N802" s="6"/>
    </row>
    <row r="803" spans="11:14" x14ac:dyDescent="0.25">
      <c r="K803">
        <v>797</v>
      </c>
      <c r="L803" t="s">
        <v>53</v>
      </c>
      <c r="M803">
        <v>8</v>
      </c>
      <c r="N803" s="6"/>
    </row>
    <row r="804" spans="11:14" x14ac:dyDescent="0.25">
      <c r="K804">
        <v>798</v>
      </c>
      <c r="L804" t="s">
        <v>53</v>
      </c>
      <c r="M804">
        <v>8</v>
      </c>
      <c r="N804" s="6"/>
    </row>
    <row r="805" spans="11:14" x14ac:dyDescent="0.25">
      <c r="K805">
        <v>799</v>
      </c>
      <c r="L805" t="s">
        <v>45</v>
      </c>
      <c r="M805">
        <v>9</v>
      </c>
      <c r="N805" s="6"/>
    </row>
    <row r="806" spans="11:14" x14ac:dyDescent="0.25">
      <c r="K806">
        <v>800</v>
      </c>
      <c r="L806" t="s">
        <v>53</v>
      </c>
      <c r="M806">
        <v>8</v>
      </c>
      <c r="N806" s="6"/>
    </row>
    <row r="807" spans="11:14" x14ac:dyDescent="0.25">
      <c r="K807">
        <v>801</v>
      </c>
      <c r="L807" t="s">
        <v>45</v>
      </c>
      <c r="M807">
        <v>10</v>
      </c>
      <c r="N807" s="6"/>
    </row>
    <row r="808" spans="11:14" x14ac:dyDescent="0.25">
      <c r="K808">
        <v>802</v>
      </c>
      <c r="L808" t="s">
        <v>53</v>
      </c>
      <c r="M808">
        <v>7</v>
      </c>
      <c r="N808" s="6"/>
    </row>
    <row r="809" spans="11:14" x14ac:dyDescent="0.25">
      <c r="K809">
        <v>803</v>
      </c>
      <c r="L809" t="s">
        <v>45</v>
      </c>
      <c r="M809">
        <v>3</v>
      </c>
      <c r="N809" s="6"/>
    </row>
    <row r="810" spans="11:14" x14ac:dyDescent="0.25">
      <c r="K810">
        <v>804</v>
      </c>
      <c r="L810" t="s">
        <v>53</v>
      </c>
      <c r="M810">
        <v>6</v>
      </c>
      <c r="N810" s="6"/>
    </row>
    <row r="811" spans="11:14" x14ac:dyDescent="0.25">
      <c r="K811">
        <v>805</v>
      </c>
      <c r="L811" t="s">
        <v>45</v>
      </c>
      <c r="M811">
        <v>3</v>
      </c>
      <c r="N811" s="6"/>
    </row>
    <row r="812" spans="11:14" x14ac:dyDescent="0.25">
      <c r="K812">
        <v>806</v>
      </c>
      <c r="L812" t="s">
        <v>45</v>
      </c>
      <c r="M812">
        <v>10</v>
      </c>
      <c r="N812" s="6"/>
    </row>
    <row r="813" spans="11:14" x14ac:dyDescent="0.25">
      <c r="K813">
        <v>807</v>
      </c>
      <c r="L813" t="s">
        <v>45</v>
      </c>
      <c r="M813">
        <v>2</v>
      </c>
      <c r="N813" s="6"/>
    </row>
    <row r="814" spans="11:14" x14ac:dyDescent="0.25">
      <c r="K814">
        <v>808</v>
      </c>
      <c r="L814" t="s">
        <v>45</v>
      </c>
      <c r="M814">
        <v>10</v>
      </c>
      <c r="N814" s="6"/>
    </row>
    <row r="815" spans="11:14" x14ac:dyDescent="0.25">
      <c r="K815">
        <v>809</v>
      </c>
      <c r="L815" t="s">
        <v>45</v>
      </c>
      <c r="M815">
        <v>3</v>
      </c>
      <c r="N815" s="6"/>
    </row>
    <row r="816" spans="11:14" x14ac:dyDescent="0.25">
      <c r="K816">
        <v>810</v>
      </c>
      <c r="L816" t="s">
        <v>45</v>
      </c>
      <c r="M816">
        <v>8</v>
      </c>
      <c r="N816" s="6"/>
    </row>
    <row r="817" spans="11:14" x14ac:dyDescent="0.25">
      <c r="K817">
        <v>811</v>
      </c>
      <c r="L817" t="s">
        <v>53</v>
      </c>
      <c r="M817">
        <v>8</v>
      </c>
      <c r="N817" s="6"/>
    </row>
    <row r="818" spans="11:14" x14ac:dyDescent="0.25">
      <c r="K818">
        <v>812</v>
      </c>
      <c r="L818" t="s">
        <v>45</v>
      </c>
      <c r="M818">
        <v>11</v>
      </c>
      <c r="N818" s="6"/>
    </row>
    <row r="819" spans="11:14" x14ac:dyDescent="0.25">
      <c r="K819">
        <v>813</v>
      </c>
      <c r="L819" t="s">
        <v>45</v>
      </c>
      <c r="M819">
        <v>6</v>
      </c>
      <c r="N819" s="6"/>
    </row>
    <row r="820" spans="11:14" x14ac:dyDescent="0.25">
      <c r="K820">
        <v>814</v>
      </c>
      <c r="L820" t="s">
        <v>53</v>
      </c>
      <c r="M820">
        <v>7</v>
      </c>
      <c r="N820" s="6"/>
    </row>
    <row r="821" spans="11:14" x14ac:dyDescent="0.25">
      <c r="K821">
        <v>815</v>
      </c>
      <c r="L821" t="s">
        <v>45</v>
      </c>
      <c r="M821">
        <v>4</v>
      </c>
      <c r="N821" s="6"/>
    </row>
    <row r="822" spans="11:14" x14ac:dyDescent="0.25">
      <c r="K822">
        <v>816</v>
      </c>
      <c r="L822" t="s">
        <v>53</v>
      </c>
      <c r="M822">
        <v>9</v>
      </c>
      <c r="N822" s="6"/>
    </row>
    <row r="823" spans="11:14" x14ac:dyDescent="0.25">
      <c r="K823">
        <v>817</v>
      </c>
      <c r="L823" t="s">
        <v>45</v>
      </c>
      <c r="M823">
        <v>9</v>
      </c>
      <c r="N823" s="6"/>
    </row>
    <row r="824" spans="11:14" x14ac:dyDescent="0.25">
      <c r="K824">
        <v>818</v>
      </c>
      <c r="L824" t="s">
        <v>53</v>
      </c>
      <c r="M824">
        <v>7</v>
      </c>
      <c r="N824" s="6"/>
    </row>
    <row r="825" spans="11:14" x14ac:dyDescent="0.25">
      <c r="K825">
        <v>819</v>
      </c>
      <c r="L825" t="s">
        <v>53</v>
      </c>
      <c r="M825">
        <v>4</v>
      </c>
      <c r="N825" s="6"/>
    </row>
    <row r="826" spans="11:14" x14ac:dyDescent="0.25">
      <c r="K826">
        <v>820</v>
      </c>
      <c r="L826" t="s">
        <v>45</v>
      </c>
      <c r="M826">
        <v>11</v>
      </c>
      <c r="N826" s="6"/>
    </row>
    <row r="827" spans="11:14" x14ac:dyDescent="0.25">
      <c r="K827">
        <v>821</v>
      </c>
      <c r="L827" t="s">
        <v>53</v>
      </c>
      <c r="M827">
        <v>8</v>
      </c>
      <c r="N827" s="6"/>
    </row>
    <row r="828" spans="11:14" x14ac:dyDescent="0.25">
      <c r="K828">
        <v>822</v>
      </c>
      <c r="L828" t="s">
        <v>45</v>
      </c>
      <c r="M828">
        <v>10</v>
      </c>
      <c r="N828" s="6"/>
    </row>
    <row r="829" spans="11:14" x14ac:dyDescent="0.25">
      <c r="K829">
        <v>823</v>
      </c>
      <c r="L829" t="s">
        <v>53</v>
      </c>
      <c r="M829">
        <v>4</v>
      </c>
      <c r="N829" s="6"/>
    </row>
    <row r="830" spans="11:14" x14ac:dyDescent="0.25">
      <c r="K830">
        <v>824</v>
      </c>
      <c r="L830" t="s">
        <v>53</v>
      </c>
      <c r="M830">
        <v>5</v>
      </c>
      <c r="N830" s="6"/>
    </row>
    <row r="831" spans="11:14" x14ac:dyDescent="0.25">
      <c r="K831">
        <v>825</v>
      </c>
      <c r="L831" t="s">
        <v>53</v>
      </c>
      <c r="M831">
        <v>7</v>
      </c>
      <c r="N831" s="6"/>
    </row>
    <row r="832" spans="11:14" x14ac:dyDescent="0.25">
      <c r="K832">
        <v>826</v>
      </c>
      <c r="L832" t="s">
        <v>53</v>
      </c>
      <c r="M832">
        <v>8</v>
      </c>
      <c r="N832" s="6"/>
    </row>
    <row r="833" spans="11:14" x14ac:dyDescent="0.25">
      <c r="K833">
        <v>827</v>
      </c>
      <c r="L833" t="s">
        <v>45</v>
      </c>
      <c r="M833">
        <v>4</v>
      </c>
      <c r="N833" s="6"/>
    </row>
    <row r="834" spans="11:14" x14ac:dyDescent="0.25">
      <c r="K834">
        <v>828</v>
      </c>
      <c r="L834" t="s">
        <v>53</v>
      </c>
      <c r="M834">
        <v>6</v>
      </c>
      <c r="N834" s="6"/>
    </row>
    <row r="835" spans="11:14" x14ac:dyDescent="0.25">
      <c r="K835">
        <v>829</v>
      </c>
      <c r="L835" t="s">
        <v>45</v>
      </c>
      <c r="M835">
        <v>10</v>
      </c>
      <c r="N835" s="6"/>
    </row>
    <row r="836" spans="11:14" x14ac:dyDescent="0.25">
      <c r="K836">
        <v>830</v>
      </c>
      <c r="L836" t="s">
        <v>53</v>
      </c>
      <c r="M836">
        <v>6</v>
      </c>
      <c r="N836" s="6"/>
    </row>
    <row r="837" spans="11:14" x14ac:dyDescent="0.25">
      <c r="K837">
        <v>831</v>
      </c>
      <c r="L837" t="s">
        <v>45</v>
      </c>
      <c r="M837">
        <v>4</v>
      </c>
      <c r="N837" s="6"/>
    </row>
    <row r="838" spans="11:14" x14ac:dyDescent="0.25">
      <c r="K838">
        <v>832</v>
      </c>
      <c r="L838" t="s">
        <v>53</v>
      </c>
      <c r="M838">
        <v>6</v>
      </c>
      <c r="N838" s="6"/>
    </row>
    <row r="839" spans="11:14" x14ac:dyDescent="0.25">
      <c r="K839">
        <v>833</v>
      </c>
      <c r="L839" t="s">
        <v>53</v>
      </c>
      <c r="M839">
        <v>8</v>
      </c>
      <c r="N839" s="6"/>
    </row>
    <row r="840" spans="11:14" x14ac:dyDescent="0.25">
      <c r="K840">
        <v>834</v>
      </c>
      <c r="L840" t="s">
        <v>45</v>
      </c>
      <c r="M840">
        <v>10</v>
      </c>
      <c r="N840" s="6"/>
    </row>
    <row r="841" spans="11:14" x14ac:dyDescent="0.25">
      <c r="K841">
        <v>835</v>
      </c>
      <c r="L841" t="s">
        <v>45</v>
      </c>
      <c r="M841">
        <v>11</v>
      </c>
      <c r="N841" s="6"/>
    </row>
    <row r="842" spans="11:14" x14ac:dyDescent="0.25">
      <c r="K842">
        <v>836</v>
      </c>
      <c r="L842" t="s">
        <v>45</v>
      </c>
      <c r="M842">
        <v>6</v>
      </c>
      <c r="N842" s="6"/>
    </row>
    <row r="843" spans="11:14" x14ac:dyDescent="0.25">
      <c r="K843">
        <v>837</v>
      </c>
      <c r="L843" t="s">
        <v>45</v>
      </c>
      <c r="M843">
        <v>11</v>
      </c>
      <c r="N843" s="6"/>
    </row>
    <row r="844" spans="11:14" x14ac:dyDescent="0.25">
      <c r="K844">
        <v>838</v>
      </c>
      <c r="L844" t="s">
        <v>45</v>
      </c>
      <c r="M844">
        <v>4</v>
      </c>
      <c r="N844" s="6"/>
    </row>
    <row r="845" spans="11:14" x14ac:dyDescent="0.25">
      <c r="K845">
        <v>839</v>
      </c>
      <c r="L845" t="s">
        <v>45</v>
      </c>
      <c r="M845">
        <v>5</v>
      </c>
      <c r="N845" s="6"/>
    </row>
    <row r="846" spans="11:14" x14ac:dyDescent="0.25">
      <c r="K846">
        <v>840</v>
      </c>
      <c r="L846" t="s">
        <v>45</v>
      </c>
      <c r="M846">
        <v>6</v>
      </c>
      <c r="N846" s="6"/>
    </row>
    <row r="847" spans="11:14" x14ac:dyDescent="0.25">
      <c r="K847">
        <v>841</v>
      </c>
      <c r="L847" t="s">
        <v>45</v>
      </c>
      <c r="M847">
        <v>10</v>
      </c>
      <c r="N847" s="6"/>
    </row>
    <row r="848" spans="11:14" x14ac:dyDescent="0.25">
      <c r="K848">
        <v>842</v>
      </c>
      <c r="L848" t="s">
        <v>45</v>
      </c>
      <c r="M848">
        <v>11</v>
      </c>
      <c r="N848" s="6"/>
    </row>
    <row r="849" spans="11:14" x14ac:dyDescent="0.25">
      <c r="K849">
        <v>843</v>
      </c>
      <c r="L849" t="s">
        <v>53</v>
      </c>
      <c r="M849">
        <v>7</v>
      </c>
      <c r="N849" s="6"/>
    </row>
    <row r="850" spans="11:14" x14ac:dyDescent="0.25">
      <c r="K850">
        <v>844</v>
      </c>
      <c r="L850" t="s">
        <v>45</v>
      </c>
      <c r="M850">
        <v>4</v>
      </c>
      <c r="N850" s="6"/>
    </row>
    <row r="851" spans="11:14" x14ac:dyDescent="0.25">
      <c r="K851">
        <v>845</v>
      </c>
      <c r="L851" t="s">
        <v>45</v>
      </c>
      <c r="M851">
        <v>5</v>
      </c>
      <c r="N851" s="6"/>
    </row>
    <row r="852" spans="11:14" x14ac:dyDescent="0.25">
      <c r="K852">
        <v>846</v>
      </c>
      <c r="L852" t="s">
        <v>53</v>
      </c>
      <c r="M852">
        <v>8</v>
      </c>
      <c r="N852" s="6"/>
    </row>
    <row r="853" spans="11:14" x14ac:dyDescent="0.25">
      <c r="K853">
        <v>847</v>
      </c>
      <c r="L853" t="s">
        <v>45</v>
      </c>
      <c r="M853">
        <v>10</v>
      </c>
      <c r="N853" s="6"/>
    </row>
    <row r="854" spans="11:14" x14ac:dyDescent="0.25">
      <c r="K854">
        <v>848</v>
      </c>
      <c r="L854" t="s">
        <v>53</v>
      </c>
      <c r="M854">
        <v>7</v>
      </c>
      <c r="N854" s="6"/>
    </row>
    <row r="855" spans="11:14" x14ac:dyDescent="0.25">
      <c r="K855">
        <v>849</v>
      </c>
      <c r="L855" t="s">
        <v>45</v>
      </c>
      <c r="M855">
        <v>10</v>
      </c>
      <c r="N855" s="6"/>
    </row>
    <row r="856" spans="11:14" x14ac:dyDescent="0.25">
      <c r="K856">
        <v>850</v>
      </c>
      <c r="L856" t="s">
        <v>45</v>
      </c>
      <c r="M856">
        <v>6</v>
      </c>
      <c r="N856" s="6"/>
    </row>
    <row r="857" spans="11:14" x14ac:dyDescent="0.25">
      <c r="K857">
        <v>851</v>
      </c>
      <c r="L857" t="s">
        <v>53</v>
      </c>
      <c r="M857">
        <v>10</v>
      </c>
      <c r="N857" s="6"/>
    </row>
    <row r="858" spans="11:14" x14ac:dyDescent="0.25">
      <c r="K858">
        <v>852</v>
      </c>
      <c r="L858" t="s">
        <v>53</v>
      </c>
      <c r="M858">
        <v>4</v>
      </c>
      <c r="N858" s="6"/>
    </row>
    <row r="859" spans="11:14" x14ac:dyDescent="0.25">
      <c r="K859">
        <v>853</v>
      </c>
      <c r="L859" t="s">
        <v>53</v>
      </c>
      <c r="M859">
        <v>4</v>
      </c>
      <c r="N859" s="6"/>
    </row>
    <row r="860" spans="11:14" x14ac:dyDescent="0.25">
      <c r="K860">
        <v>854</v>
      </c>
      <c r="L860" t="s">
        <v>53</v>
      </c>
      <c r="M860">
        <v>5</v>
      </c>
      <c r="N860" s="6"/>
    </row>
    <row r="861" spans="11:14" x14ac:dyDescent="0.25">
      <c r="K861">
        <v>855</v>
      </c>
      <c r="L861" t="s">
        <v>53</v>
      </c>
      <c r="M861">
        <v>6</v>
      </c>
      <c r="N861" s="6"/>
    </row>
    <row r="862" spans="11:14" x14ac:dyDescent="0.25">
      <c r="K862">
        <v>856</v>
      </c>
      <c r="L862" t="s">
        <v>45</v>
      </c>
      <c r="M862">
        <v>6</v>
      </c>
      <c r="N862" s="6"/>
    </row>
    <row r="863" spans="11:14" x14ac:dyDescent="0.25">
      <c r="K863">
        <v>857</v>
      </c>
      <c r="L863" t="s">
        <v>45</v>
      </c>
      <c r="M863">
        <v>8</v>
      </c>
      <c r="N863" s="6"/>
    </row>
    <row r="864" spans="11:14" x14ac:dyDescent="0.25">
      <c r="K864">
        <v>858</v>
      </c>
      <c r="L864" t="s">
        <v>45</v>
      </c>
      <c r="M864">
        <v>12</v>
      </c>
      <c r="N864" s="6"/>
    </row>
    <row r="865" spans="11:14" x14ac:dyDescent="0.25">
      <c r="K865">
        <v>859</v>
      </c>
      <c r="L865" t="s">
        <v>53</v>
      </c>
      <c r="M865">
        <v>7</v>
      </c>
      <c r="N865" s="6"/>
    </row>
    <row r="866" spans="11:14" x14ac:dyDescent="0.25">
      <c r="K866">
        <v>860</v>
      </c>
      <c r="L866" t="s">
        <v>45</v>
      </c>
      <c r="M866">
        <v>11</v>
      </c>
      <c r="N866" s="6"/>
    </row>
    <row r="867" spans="11:14" x14ac:dyDescent="0.25">
      <c r="K867">
        <v>861</v>
      </c>
      <c r="L867" t="s">
        <v>53</v>
      </c>
      <c r="M867">
        <v>9</v>
      </c>
      <c r="N867" s="6"/>
    </row>
    <row r="868" spans="11:14" x14ac:dyDescent="0.25">
      <c r="K868">
        <v>862</v>
      </c>
      <c r="L868" t="s">
        <v>53</v>
      </c>
      <c r="M868">
        <v>8</v>
      </c>
      <c r="N868" s="6"/>
    </row>
    <row r="869" spans="11:14" x14ac:dyDescent="0.25">
      <c r="K869">
        <v>863</v>
      </c>
      <c r="L869" t="s">
        <v>53</v>
      </c>
      <c r="M869">
        <v>8</v>
      </c>
      <c r="N869" s="6"/>
    </row>
    <row r="870" spans="11:14" x14ac:dyDescent="0.25">
      <c r="K870">
        <v>864</v>
      </c>
      <c r="L870" t="s">
        <v>53</v>
      </c>
      <c r="M870">
        <v>4</v>
      </c>
      <c r="N870" s="6"/>
    </row>
    <row r="871" spans="11:14" x14ac:dyDescent="0.25">
      <c r="K871">
        <v>865</v>
      </c>
      <c r="L871" t="s">
        <v>53</v>
      </c>
      <c r="M871">
        <v>6</v>
      </c>
      <c r="N871" s="6"/>
    </row>
    <row r="872" spans="11:14" x14ac:dyDescent="0.25">
      <c r="K872">
        <v>866</v>
      </c>
      <c r="L872" t="s">
        <v>45</v>
      </c>
      <c r="M872">
        <v>2</v>
      </c>
      <c r="N872" s="6"/>
    </row>
    <row r="873" spans="11:14" x14ac:dyDescent="0.25">
      <c r="K873">
        <v>867</v>
      </c>
      <c r="L873" t="s">
        <v>45</v>
      </c>
      <c r="M873">
        <v>3</v>
      </c>
      <c r="N873" s="6"/>
    </row>
    <row r="874" spans="11:14" x14ac:dyDescent="0.25">
      <c r="K874">
        <v>868</v>
      </c>
      <c r="L874" t="s">
        <v>53</v>
      </c>
      <c r="M874">
        <v>9</v>
      </c>
      <c r="N874" s="6"/>
    </row>
    <row r="875" spans="11:14" x14ac:dyDescent="0.25">
      <c r="K875">
        <v>869</v>
      </c>
      <c r="L875" t="s">
        <v>53</v>
      </c>
      <c r="M875">
        <v>7</v>
      </c>
      <c r="N875" s="6"/>
    </row>
    <row r="876" spans="11:14" x14ac:dyDescent="0.25">
      <c r="K876">
        <v>870</v>
      </c>
      <c r="L876" t="s">
        <v>45</v>
      </c>
      <c r="M876">
        <v>9</v>
      </c>
      <c r="N876" s="6"/>
    </row>
    <row r="877" spans="11:14" x14ac:dyDescent="0.25">
      <c r="K877">
        <v>871</v>
      </c>
      <c r="L877" t="s">
        <v>53</v>
      </c>
      <c r="M877">
        <v>7</v>
      </c>
      <c r="N877" s="6"/>
    </row>
    <row r="878" spans="11:14" x14ac:dyDescent="0.25">
      <c r="K878">
        <v>872</v>
      </c>
      <c r="L878" t="s">
        <v>53</v>
      </c>
      <c r="M878">
        <v>8</v>
      </c>
      <c r="N878" s="6"/>
    </row>
    <row r="879" spans="11:14" x14ac:dyDescent="0.25">
      <c r="K879">
        <v>873</v>
      </c>
      <c r="L879" t="s">
        <v>53</v>
      </c>
      <c r="M879">
        <v>8</v>
      </c>
      <c r="N879" s="6"/>
    </row>
    <row r="880" spans="11:14" x14ac:dyDescent="0.25">
      <c r="K880">
        <v>874</v>
      </c>
      <c r="L880" t="s">
        <v>45</v>
      </c>
      <c r="M880">
        <v>6</v>
      </c>
      <c r="N880" s="6"/>
    </row>
    <row r="881" spans="11:14" x14ac:dyDescent="0.25">
      <c r="K881">
        <v>875</v>
      </c>
      <c r="L881" t="s">
        <v>53</v>
      </c>
      <c r="M881">
        <v>10</v>
      </c>
      <c r="N881" s="6"/>
    </row>
    <row r="882" spans="11:14" x14ac:dyDescent="0.25">
      <c r="K882">
        <v>876</v>
      </c>
      <c r="L882" t="s">
        <v>45</v>
      </c>
      <c r="M882">
        <v>6</v>
      </c>
      <c r="N882" s="6"/>
    </row>
    <row r="883" spans="11:14" x14ac:dyDescent="0.25">
      <c r="K883">
        <v>877</v>
      </c>
      <c r="L883" t="s">
        <v>45</v>
      </c>
      <c r="M883">
        <v>6</v>
      </c>
      <c r="N883" s="6"/>
    </row>
    <row r="884" spans="11:14" x14ac:dyDescent="0.25">
      <c r="K884">
        <v>878</v>
      </c>
      <c r="L884" t="s">
        <v>45</v>
      </c>
      <c r="M884">
        <v>8</v>
      </c>
      <c r="N884" s="6"/>
    </row>
    <row r="885" spans="11:14" x14ac:dyDescent="0.25">
      <c r="K885">
        <v>879</v>
      </c>
      <c r="L885" t="s">
        <v>53</v>
      </c>
      <c r="M885">
        <v>6</v>
      </c>
      <c r="N885" s="6"/>
    </row>
    <row r="886" spans="11:14" x14ac:dyDescent="0.25">
      <c r="K886">
        <v>880</v>
      </c>
      <c r="L886" t="s">
        <v>45</v>
      </c>
      <c r="M886">
        <v>9</v>
      </c>
      <c r="N886" s="6"/>
    </row>
    <row r="887" spans="11:14" x14ac:dyDescent="0.25">
      <c r="K887">
        <v>881</v>
      </c>
      <c r="L887" t="s">
        <v>45</v>
      </c>
      <c r="M887">
        <v>11</v>
      </c>
      <c r="N887" s="6"/>
    </row>
    <row r="888" spans="11:14" x14ac:dyDescent="0.25">
      <c r="K888">
        <v>882</v>
      </c>
      <c r="L888" t="s">
        <v>53</v>
      </c>
      <c r="M888">
        <v>9</v>
      </c>
      <c r="N888" s="6"/>
    </row>
    <row r="889" spans="11:14" x14ac:dyDescent="0.25">
      <c r="K889">
        <v>883</v>
      </c>
      <c r="L889" t="s">
        <v>53</v>
      </c>
      <c r="M889">
        <v>7</v>
      </c>
      <c r="N889" s="6"/>
    </row>
    <row r="890" spans="11:14" x14ac:dyDescent="0.25">
      <c r="K890">
        <v>884</v>
      </c>
      <c r="L890" t="s">
        <v>53</v>
      </c>
      <c r="M890">
        <v>4</v>
      </c>
      <c r="N890" s="6"/>
    </row>
    <row r="891" spans="11:14" x14ac:dyDescent="0.25">
      <c r="K891">
        <v>885</v>
      </c>
      <c r="L891" t="s">
        <v>53</v>
      </c>
      <c r="M891">
        <v>7</v>
      </c>
      <c r="N891" s="6"/>
    </row>
    <row r="892" spans="11:14" x14ac:dyDescent="0.25">
      <c r="K892">
        <v>886</v>
      </c>
      <c r="L892" t="s">
        <v>53</v>
      </c>
      <c r="M892">
        <v>7</v>
      </c>
      <c r="N892" s="6"/>
    </row>
    <row r="893" spans="11:14" x14ac:dyDescent="0.25">
      <c r="K893">
        <v>887</v>
      </c>
      <c r="L893" t="s">
        <v>53</v>
      </c>
      <c r="M893">
        <v>7</v>
      </c>
      <c r="N893" s="6"/>
    </row>
    <row r="894" spans="11:14" x14ac:dyDescent="0.25">
      <c r="K894">
        <v>888</v>
      </c>
      <c r="L894" t="s">
        <v>53</v>
      </c>
      <c r="M894">
        <v>7</v>
      </c>
      <c r="N894" s="6"/>
    </row>
    <row r="895" spans="11:14" x14ac:dyDescent="0.25">
      <c r="K895">
        <v>889</v>
      </c>
      <c r="L895" t="s">
        <v>53</v>
      </c>
      <c r="M895">
        <v>4</v>
      </c>
      <c r="N895" s="6"/>
    </row>
    <row r="896" spans="11:14" x14ac:dyDescent="0.25">
      <c r="K896">
        <v>890</v>
      </c>
      <c r="L896" t="s">
        <v>53</v>
      </c>
      <c r="M896">
        <v>7</v>
      </c>
      <c r="N896" s="6"/>
    </row>
    <row r="897" spans="11:14" x14ac:dyDescent="0.25">
      <c r="K897">
        <v>891</v>
      </c>
      <c r="L897" t="s">
        <v>53</v>
      </c>
      <c r="M897">
        <v>8</v>
      </c>
      <c r="N897" s="6"/>
    </row>
    <row r="898" spans="11:14" x14ac:dyDescent="0.25">
      <c r="K898">
        <v>892</v>
      </c>
      <c r="L898" t="s">
        <v>53</v>
      </c>
      <c r="M898">
        <v>7</v>
      </c>
      <c r="N898" s="6"/>
    </row>
    <row r="899" spans="11:14" x14ac:dyDescent="0.25">
      <c r="K899">
        <v>893</v>
      </c>
      <c r="L899" t="s">
        <v>45</v>
      </c>
      <c r="M899">
        <v>10</v>
      </c>
      <c r="N899" s="6"/>
    </row>
    <row r="900" spans="11:14" x14ac:dyDescent="0.25">
      <c r="K900">
        <v>894</v>
      </c>
      <c r="L900" t="s">
        <v>45</v>
      </c>
      <c r="M900">
        <v>6</v>
      </c>
      <c r="N900" s="6"/>
    </row>
    <row r="901" spans="11:14" x14ac:dyDescent="0.25">
      <c r="K901">
        <v>895</v>
      </c>
      <c r="L901" t="s">
        <v>53</v>
      </c>
      <c r="M901">
        <v>7</v>
      </c>
      <c r="N901" s="6"/>
    </row>
    <row r="902" spans="11:14" x14ac:dyDescent="0.25">
      <c r="K902">
        <v>896</v>
      </c>
      <c r="L902" t="s">
        <v>53</v>
      </c>
      <c r="M902">
        <v>7</v>
      </c>
      <c r="N902" s="6"/>
    </row>
    <row r="903" spans="11:14" x14ac:dyDescent="0.25">
      <c r="K903">
        <v>897</v>
      </c>
      <c r="L903" t="s">
        <v>53</v>
      </c>
      <c r="M903">
        <v>7</v>
      </c>
      <c r="N903" s="6"/>
    </row>
    <row r="904" spans="11:14" x14ac:dyDescent="0.25">
      <c r="K904">
        <v>898</v>
      </c>
      <c r="L904" t="s">
        <v>45</v>
      </c>
      <c r="M904">
        <v>9</v>
      </c>
      <c r="N904" s="6"/>
    </row>
    <row r="905" spans="11:14" x14ac:dyDescent="0.25">
      <c r="K905">
        <v>899</v>
      </c>
      <c r="L905" t="s">
        <v>53</v>
      </c>
      <c r="M905">
        <v>4</v>
      </c>
      <c r="N905" s="6"/>
    </row>
    <row r="906" spans="11:14" x14ac:dyDescent="0.25">
      <c r="K906">
        <v>900</v>
      </c>
      <c r="L906" t="s">
        <v>45</v>
      </c>
      <c r="M906">
        <v>5</v>
      </c>
      <c r="N906" s="6"/>
    </row>
    <row r="907" spans="11:14" x14ac:dyDescent="0.25">
      <c r="K907">
        <v>901</v>
      </c>
      <c r="L907" t="s">
        <v>53</v>
      </c>
      <c r="M907">
        <v>8</v>
      </c>
      <c r="N907" s="6"/>
    </row>
    <row r="908" spans="11:14" x14ac:dyDescent="0.25">
      <c r="K908">
        <v>902</v>
      </c>
      <c r="L908" t="s">
        <v>53</v>
      </c>
      <c r="M908">
        <v>7</v>
      </c>
      <c r="N908" s="6"/>
    </row>
    <row r="909" spans="11:14" x14ac:dyDescent="0.25">
      <c r="K909">
        <v>903</v>
      </c>
      <c r="L909" t="s">
        <v>53</v>
      </c>
      <c r="M909">
        <v>7</v>
      </c>
      <c r="N909" s="6"/>
    </row>
    <row r="910" spans="11:14" x14ac:dyDescent="0.25">
      <c r="K910">
        <v>904</v>
      </c>
      <c r="L910" t="s">
        <v>53</v>
      </c>
      <c r="M910">
        <v>8</v>
      </c>
      <c r="N910" s="6"/>
    </row>
    <row r="911" spans="11:14" x14ac:dyDescent="0.25">
      <c r="K911">
        <v>905</v>
      </c>
      <c r="L911" t="s">
        <v>45</v>
      </c>
      <c r="M911">
        <v>9</v>
      </c>
      <c r="N911" s="6"/>
    </row>
    <row r="912" spans="11:14" x14ac:dyDescent="0.25">
      <c r="K912">
        <v>906</v>
      </c>
      <c r="L912" t="s">
        <v>45</v>
      </c>
      <c r="M912">
        <v>10</v>
      </c>
      <c r="N912" s="6"/>
    </row>
    <row r="913" spans="11:14" x14ac:dyDescent="0.25">
      <c r="K913">
        <v>907</v>
      </c>
      <c r="L913" t="s">
        <v>45</v>
      </c>
      <c r="M913">
        <v>8</v>
      </c>
      <c r="N913" s="6"/>
    </row>
    <row r="914" spans="11:14" x14ac:dyDescent="0.25">
      <c r="K914">
        <v>908</v>
      </c>
      <c r="L914" t="s">
        <v>45</v>
      </c>
      <c r="M914">
        <v>5</v>
      </c>
      <c r="N914" s="6"/>
    </row>
    <row r="915" spans="11:14" x14ac:dyDescent="0.25">
      <c r="K915">
        <v>909</v>
      </c>
      <c r="L915" t="s">
        <v>45</v>
      </c>
      <c r="M915">
        <v>12</v>
      </c>
      <c r="N915" s="6"/>
    </row>
    <row r="916" spans="11:14" x14ac:dyDescent="0.25">
      <c r="K916">
        <v>910</v>
      </c>
      <c r="L916" t="s">
        <v>45</v>
      </c>
      <c r="M916">
        <v>9</v>
      </c>
      <c r="N916" s="6"/>
    </row>
    <row r="917" spans="11:14" x14ac:dyDescent="0.25">
      <c r="K917">
        <v>911</v>
      </c>
      <c r="L917" t="s">
        <v>45</v>
      </c>
      <c r="M917">
        <v>2</v>
      </c>
      <c r="N917" s="6"/>
    </row>
    <row r="918" spans="11:14" x14ac:dyDescent="0.25">
      <c r="K918">
        <v>912</v>
      </c>
      <c r="L918" t="s">
        <v>53</v>
      </c>
      <c r="M918">
        <v>10</v>
      </c>
      <c r="N918" s="6"/>
    </row>
    <row r="919" spans="11:14" x14ac:dyDescent="0.25">
      <c r="K919">
        <v>913</v>
      </c>
      <c r="L919" t="s">
        <v>53</v>
      </c>
      <c r="M919">
        <v>9</v>
      </c>
      <c r="N919" s="6"/>
    </row>
    <row r="920" spans="11:14" x14ac:dyDescent="0.25">
      <c r="K920">
        <v>914</v>
      </c>
      <c r="L920" t="s">
        <v>53</v>
      </c>
      <c r="M920">
        <v>4</v>
      </c>
      <c r="N920" s="6"/>
    </row>
    <row r="921" spans="11:14" x14ac:dyDescent="0.25">
      <c r="K921">
        <v>915</v>
      </c>
      <c r="L921" t="s">
        <v>53</v>
      </c>
      <c r="M921">
        <v>8</v>
      </c>
      <c r="N921" s="6"/>
    </row>
    <row r="922" spans="11:14" x14ac:dyDescent="0.25">
      <c r="K922">
        <v>916</v>
      </c>
      <c r="L922" t="s">
        <v>45</v>
      </c>
      <c r="M922">
        <v>6</v>
      </c>
      <c r="N922" s="6"/>
    </row>
    <row r="923" spans="11:14" x14ac:dyDescent="0.25">
      <c r="K923">
        <v>917</v>
      </c>
      <c r="L923" t="s">
        <v>53</v>
      </c>
      <c r="M923">
        <v>7</v>
      </c>
      <c r="N923" s="6"/>
    </row>
    <row r="924" spans="11:14" x14ac:dyDescent="0.25">
      <c r="K924">
        <v>918</v>
      </c>
      <c r="L924" t="s">
        <v>45</v>
      </c>
      <c r="M924">
        <v>3</v>
      </c>
      <c r="N924" s="6"/>
    </row>
    <row r="925" spans="11:14" x14ac:dyDescent="0.25">
      <c r="K925">
        <v>919</v>
      </c>
      <c r="L925" t="s">
        <v>53</v>
      </c>
      <c r="M925">
        <v>5</v>
      </c>
      <c r="N925" s="6"/>
    </row>
    <row r="926" spans="11:14" x14ac:dyDescent="0.25">
      <c r="K926">
        <v>920</v>
      </c>
      <c r="L926" t="s">
        <v>53</v>
      </c>
      <c r="M926">
        <v>10</v>
      </c>
      <c r="N926" s="6"/>
    </row>
    <row r="927" spans="11:14" x14ac:dyDescent="0.25">
      <c r="K927">
        <v>921</v>
      </c>
      <c r="L927" t="s">
        <v>53</v>
      </c>
      <c r="M927">
        <v>4</v>
      </c>
      <c r="N927" s="6"/>
    </row>
    <row r="928" spans="11:14" x14ac:dyDescent="0.25">
      <c r="K928">
        <v>922</v>
      </c>
      <c r="L928" t="s">
        <v>45</v>
      </c>
      <c r="M928">
        <v>9</v>
      </c>
      <c r="N928" s="6"/>
    </row>
    <row r="929" spans="11:14" x14ac:dyDescent="0.25">
      <c r="K929">
        <v>923</v>
      </c>
      <c r="L929" t="s">
        <v>53</v>
      </c>
      <c r="M929">
        <v>5</v>
      </c>
      <c r="N929" s="6"/>
    </row>
    <row r="930" spans="11:14" x14ac:dyDescent="0.25">
      <c r="K930">
        <v>924</v>
      </c>
      <c r="L930" t="s">
        <v>53</v>
      </c>
      <c r="M930">
        <v>7</v>
      </c>
      <c r="N930" s="6"/>
    </row>
    <row r="931" spans="11:14" x14ac:dyDescent="0.25">
      <c r="K931">
        <v>925</v>
      </c>
      <c r="L931" t="s">
        <v>53</v>
      </c>
      <c r="M931">
        <v>9</v>
      </c>
      <c r="N931" s="6"/>
    </row>
    <row r="932" spans="11:14" x14ac:dyDescent="0.25">
      <c r="K932">
        <v>926</v>
      </c>
      <c r="L932" t="s">
        <v>53</v>
      </c>
      <c r="M932">
        <v>5</v>
      </c>
      <c r="N932" s="6"/>
    </row>
    <row r="933" spans="11:14" x14ac:dyDescent="0.25">
      <c r="K933">
        <v>927</v>
      </c>
      <c r="L933" t="s">
        <v>53</v>
      </c>
      <c r="M933">
        <v>7</v>
      </c>
      <c r="N933" s="6"/>
    </row>
    <row r="934" spans="11:14" x14ac:dyDescent="0.25">
      <c r="K934">
        <v>928</v>
      </c>
      <c r="L934" t="s">
        <v>45</v>
      </c>
      <c r="M934">
        <v>6</v>
      </c>
      <c r="N934" s="6"/>
    </row>
    <row r="935" spans="11:14" x14ac:dyDescent="0.25">
      <c r="K935">
        <v>929</v>
      </c>
      <c r="L935" t="s">
        <v>53</v>
      </c>
      <c r="M935">
        <v>8</v>
      </c>
      <c r="N935" s="6"/>
    </row>
    <row r="936" spans="11:14" x14ac:dyDescent="0.25">
      <c r="K936">
        <v>930</v>
      </c>
      <c r="L936" t="s">
        <v>45</v>
      </c>
      <c r="M936">
        <v>3</v>
      </c>
      <c r="N936" s="6"/>
    </row>
    <row r="937" spans="11:14" x14ac:dyDescent="0.25">
      <c r="K937">
        <v>931</v>
      </c>
      <c r="L937" t="s">
        <v>53</v>
      </c>
      <c r="M937">
        <v>7</v>
      </c>
      <c r="N937" s="6"/>
    </row>
    <row r="938" spans="11:14" x14ac:dyDescent="0.25">
      <c r="K938">
        <v>932</v>
      </c>
      <c r="L938" t="s">
        <v>53</v>
      </c>
      <c r="M938">
        <v>7</v>
      </c>
      <c r="N938" s="6"/>
    </row>
    <row r="939" spans="11:14" x14ac:dyDescent="0.25">
      <c r="K939">
        <v>933</v>
      </c>
      <c r="L939" t="s">
        <v>45</v>
      </c>
      <c r="M939">
        <v>10</v>
      </c>
      <c r="N939" s="6"/>
    </row>
    <row r="940" spans="11:14" x14ac:dyDescent="0.25">
      <c r="K940">
        <v>934</v>
      </c>
      <c r="L940" t="s">
        <v>45</v>
      </c>
      <c r="M940">
        <v>10</v>
      </c>
      <c r="N940" s="6"/>
    </row>
    <row r="941" spans="11:14" x14ac:dyDescent="0.25">
      <c r="K941">
        <v>935</v>
      </c>
      <c r="L941" t="s">
        <v>53</v>
      </c>
      <c r="M941">
        <v>6</v>
      </c>
      <c r="N941" s="6"/>
    </row>
    <row r="942" spans="11:14" x14ac:dyDescent="0.25">
      <c r="K942">
        <v>936</v>
      </c>
      <c r="L942" t="s">
        <v>45</v>
      </c>
      <c r="M942">
        <v>6</v>
      </c>
      <c r="N942" s="6"/>
    </row>
    <row r="943" spans="11:14" x14ac:dyDescent="0.25">
      <c r="K943">
        <v>937</v>
      </c>
      <c r="L943" t="s">
        <v>53</v>
      </c>
      <c r="M943">
        <v>7</v>
      </c>
      <c r="N943" s="6"/>
    </row>
    <row r="944" spans="11:14" x14ac:dyDescent="0.25">
      <c r="K944">
        <v>938</v>
      </c>
      <c r="L944" t="s">
        <v>45</v>
      </c>
      <c r="M944">
        <v>8</v>
      </c>
      <c r="N944" s="6"/>
    </row>
    <row r="945" spans="11:14" x14ac:dyDescent="0.25">
      <c r="K945">
        <v>939</v>
      </c>
      <c r="L945" t="s">
        <v>53</v>
      </c>
      <c r="M945">
        <v>5</v>
      </c>
      <c r="N945" s="6"/>
    </row>
    <row r="946" spans="11:14" x14ac:dyDescent="0.25">
      <c r="K946">
        <v>940</v>
      </c>
      <c r="L946" t="s">
        <v>45</v>
      </c>
      <c r="M946">
        <v>11</v>
      </c>
      <c r="N946" s="6"/>
    </row>
    <row r="947" spans="11:14" x14ac:dyDescent="0.25">
      <c r="K947">
        <v>941</v>
      </c>
      <c r="L947" t="s">
        <v>45</v>
      </c>
      <c r="M947">
        <v>11</v>
      </c>
      <c r="N947" s="6"/>
    </row>
    <row r="948" spans="11:14" x14ac:dyDescent="0.25">
      <c r="K948">
        <v>942</v>
      </c>
      <c r="L948" t="s">
        <v>45</v>
      </c>
      <c r="M948">
        <v>3</v>
      </c>
      <c r="N948" s="6"/>
    </row>
    <row r="949" spans="11:14" x14ac:dyDescent="0.25">
      <c r="K949">
        <v>943</v>
      </c>
      <c r="L949" t="s">
        <v>53</v>
      </c>
      <c r="M949">
        <v>9</v>
      </c>
      <c r="N949" s="6"/>
    </row>
    <row r="950" spans="11:14" x14ac:dyDescent="0.25">
      <c r="K950">
        <v>944</v>
      </c>
      <c r="L950" t="s">
        <v>45</v>
      </c>
      <c r="M950">
        <v>11</v>
      </c>
      <c r="N950" s="6"/>
    </row>
    <row r="951" spans="11:14" x14ac:dyDescent="0.25">
      <c r="K951">
        <v>945</v>
      </c>
      <c r="L951" t="s">
        <v>53</v>
      </c>
      <c r="M951">
        <v>8</v>
      </c>
      <c r="N951" s="6"/>
    </row>
    <row r="952" spans="11:14" x14ac:dyDescent="0.25">
      <c r="K952">
        <v>946</v>
      </c>
      <c r="L952" t="s">
        <v>53</v>
      </c>
      <c r="M952">
        <v>6</v>
      </c>
      <c r="N952" s="6"/>
    </row>
    <row r="953" spans="11:14" x14ac:dyDescent="0.25">
      <c r="K953">
        <v>947</v>
      </c>
      <c r="L953" t="s">
        <v>53</v>
      </c>
      <c r="M953">
        <v>6</v>
      </c>
      <c r="N953" s="6"/>
    </row>
    <row r="954" spans="11:14" x14ac:dyDescent="0.25">
      <c r="K954">
        <v>948</v>
      </c>
      <c r="L954" t="s">
        <v>45</v>
      </c>
      <c r="M954">
        <v>10</v>
      </c>
      <c r="N954" s="6"/>
    </row>
    <row r="955" spans="11:14" x14ac:dyDescent="0.25">
      <c r="K955">
        <v>949</v>
      </c>
      <c r="L955" t="s">
        <v>53</v>
      </c>
      <c r="M955">
        <v>5</v>
      </c>
      <c r="N955" s="6"/>
    </row>
    <row r="956" spans="11:14" x14ac:dyDescent="0.25">
      <c r="K956">
        <v>950</v>
      </c>
      <c r="L956" t="s">
        <v>53</v>
      </c>
      <c r="M956">
        <v>8</v>
      </c>
      <c r="N956" s="6"/>
    </row>
    <row r="957" spans="11:14" x14ac:dyDescent="0.25">
      <c r="K957">
        <v>951</v>
      </c>
      <c r="L957" t="s">
        <v>45</v>
      </c>
      <c r="M957">
        <v>8</v>
      </c>
      <c r="N957" s="6"/>
    </row>
    <row r="958" spans="11:14" x14ac:dyDescent="0.25">
      <c r="K958">
        <v>952</v>
      </c>
      <c r="L958" t="s">
        <v>45</v>
      </c>
      <c r="M958">
        <v>3</v>
      </c>
      <c r="N958" s="6"/>
    </row>
    <row r="959" spans="11:14" x14ac:dyDescent="0.25">
      <c r="K959">
        <v>953</v>
      </c>
      <c r="L959" t="s">
        <v>53</v>
      </c>
      <c r="M959">
        <v>7</v>
      </c>
      <c r="N959" s="6"/>
    </row>
    <row r="960" spans="11:14" x14ac:dyDescent="0.25">
      <c r="K960">
        <v>954</v>
      </c>
      <c r="L960" t="s">
        <v>45</v>
      </c>
      <c r="M960">
        <v>6</v>
      </c>
      <c r="N960" s="6"/>
    </row>
    <row r="961" spans="11:14" x14ac:dyDescent="0.25">
      <c r="K961">
        <v>955</v>
      </c>
      <c r="L961" t="s">
        <v>53</v>
      </c>
      <c r="M961">
        <v>8</v>
      </c>
      <c r="N961" s="6"/>
    </row>
    <row r="962" spans="11:14" x14ac:dyDescent="0.25">
      <c r="K962">
        <v>956</v>
      </c>
      <c r="L962" t="s">
        <v>53</v>
      </c>
      <c r="M962">
        <v>7</v>
      </c>
      <c r="N962" s="6"/>
    </row>
    <row r="963" spans="11:14" x14ac:dyDescent="0.25">
      <c r="K963">
        <v>957</v>
      </c>
      <c r="L963" t="s">
        <v>53</v>
      </c>
      <c r="M963">
        <v>4</v>
      </c>
      <c r="N963" s="6"/>
    </row>
    <row r="964" spans="11:14" x14ac:dyDescent="0.25">
      <c r="K964">
        <v>958</v>
      </c>
      <c r="L964" t="s">
        <v>53</v>
      </c>
      <c r="M964">
        <v>10</v>
      </c>
      <c r="N964" s="6"/>
    </row>
    <row r="965" spans="11:14" x14ac:dyDescent="0.25">
      <c r="K965">
        <v>959</v>
      </c>
      <c r="L965" t="s">
        <v>45</v>
      </c>
      <c r="M965">
        <v>3</v>
      </c>
      <c r="N965" s="6"/>
    </row>
    <row r="966" spans="11:14" x14ac:dyDescent="0.25">
      <c r="K966">
        <v>960</v>
      </c>
      <c r="L966" t="s">
        <v>53</v>
      </c>
      <c r="M966">
        <v>6</v>
      </c>
      <c r="N966" s="6"/>
    </row>
    <row r="967" spans="11:14" x14ac:dyDescent="0.25">
      <c r="K967">
        <v>961</v>
      </c>
      <c r="L967" t="s">
        <v>53</v>
      </c>
      <c r="M967">
        <v>6</v>
      </c>
      <c r="N967" s="6"/>
    </row>
    <row r="968" spans="11:14" x14ac:dyDescent="0.25">
      <c r="K968">
        <v>962</v>
      </c>
      <c r="L968" t="s">
        <v>53</v>
      </c>
      <c r="M968">
        <v>5</v>
      </c>
      <c r="N968" s="6"/>
    </row>
    <row r="969" spans="11:14" x14ac:dyDescent="0.25">
      <c r="K969">
        <v>963</v>
      </c>
      <c r="L969" t="s">
        <v>53</v>
      </c>
      <c r="M969">
        <v>8</v>
      </c>
      <c r="N969" s="6"/>
    </row>
    <row r="970" spans="11:14" x14ac:dyDescent="0.25">
      <c r="K970">
        <v>964</v>
      </c>
      <c r="L970" t="s">
        <v>45</v>
      </c>
      <c r="M970">
        <v>8</v>
      </c>
      <c r="N970" s="6"/>
    </row>
    <row r="971" spans="11:14" x14ac:dyDescent="0.25">
      <c r="K971">
        <v>965</v>
      </c>
      <c r="L971" t="s">
        <v>53</v>
      </c>
      <c r="M971">
        <v>7</v>
      </c>
      <c r="N971" s="6"/>
    </row>
    <row r="972" spans="11:14" x14ac:dyDescent="0.25">
      <c r="K972">
        <v>966</v>
      </c>
      <c r="L972" t="s">
        <v>45</v>
      </c>
      <c r="M972">
        <v>9</v>
      </c>
      <c r="N972" s="6"/>
    </row>
    <row r="973" spans="11:14" x14ac:dyDescent="0.25">
      <c r="K973">
        <v>967</v>
      </c>
      <c r="L973" t="s">
        <v>53</v>
      </c>
      <c r="M973">
        <v>8</v>
      </c>
      <c r="N973" s="6"/>
    </row>
    <row r="974" spans="11:14" x14ac:dyDescent="0.25">
      <c r="K974">
        <v>968</v>
      </c>
      <c r="L974" t="s">
        <v>53</v>
      </c>
      <c r="M974">
        <v>5</v>
      </c>
      <c r="N974" s="6"/>
    </row>
    <row r="975" spans="11:14" x14ac:dyDescent="0.25">
      <c r="K975">
        <v>969</v>
      </c>
      <c r="L975" t="s">
        <v>53</v>
      </c>
      <c r="M975">
        <v>6</v>
      </c>
      <c r="N975" s="6"/>
    </row>
    <row r="976" spans="11:14" x14ac:dyDescent="0.25">
      <c r="K976">
        <v>970</v>
      </c>
      <c r="L976" t="s">
        <v>53</v>
      </c>
      <c r="M976">
        <v>4</v>
      </c>
      <c r="N976" s="6"/>
    </row>
    <row r="977" spans="11:14" x14ac:dyDescent="0.25">
      <c r="K977">
        <v>971</v>
      </c>
      <c r="L977" t="s">
        <v>53</v>
      </c>
      <c r="M977">
        <v>9</v>
      </c>
      <c r="N977" s="6"/>
    </row>
    <row r="978" spans="11:14" x14ac:dyDescent="0.25">
      <c r="K978">
        <v>972</v>
      </c>
      <c r="L978" t="s">
        <v>53</v>
      </c>
      <c r="M978">
        <v>8</v>
      </c>
      <c r="N978" s="6"/>
    </row>
    <row r="979" spans="11:14" x14ac:dyDescent="0.25">
      <c r="K979">
        <v>973</v>
      </c>
      <c r="L979" t="s">
        <v>45</v>
      </c>
      <c r="M979">
        <v>6</v>
      </c>
      <c r="N979" s="6"/>
    </row>
    <row r="980" spans="11:14" x14ac:dyDescent="0.25">
      <c r="K980">
        <v>974</v>
      </c>
      <c r="L980" t="s">
        <v>53</v>
      </c>
      <c r="M980">
        <v>10</v>
      </c>
      <c r="N980" s="6"/>
    </row>
    <row r="981" spans="11:14" x14ac:dyDescent="0.25">
      <c r="K981">
        <v>975</v>
      </c>
      <c r="L981" t="s">
        <v>53</v>
      </c>
      <c r="M981">
        <v>7</v>
      </c>
      <c r="N981" s="6"/>
    </row>
    <row r="982" spans="11:14" x14ac:dyDescent="0.25">
      <c r="K982">
        <v>976</v>
      </c>
      <c r="L982" t="s">
        <v>53</v>
      </c>
      <c r="M982">
        <v>6</v>
      </c>
      <c r="N982" s="6"/>
    </row>
    <row r="983" spans="11:14" x14ac:dyDescent="0.25">
      <c r="K983">
        <v>977</v>
      </c>
      <c r="L983" t="s">
        <v>45</v>
      </c>
      <c r="M983">
        <v>3</v>
      </c>
      <c r="N983" s="6"/>
    </row>
    <row r="984" spans="11:14" x14ac:dyDescent="0.25">
      <c r="K984">
        <v>978</v>
      </c>
      <c r="L984" t="s">
        <v>45</v>
      </c>
      <c r="M984">
        <v>10</v>
      </c>
      <c r="N984" s="6"/>
    </row>
    <row r="985" spans="11:14" x14ac:dyDescent="0.25">
      <c r="K985">
        <v>979</v>
      </c>
      <c r="L985" t="s">
        <v>45</v>
      </c>
      <c r="M985">
        <v>2</v>
      </c>
      <c r="N985" s="6"/>
    </row>
    <row r="986" spans="11:14" x14ac:dyDescent="0.25">
      <c r="K986">
        <v>980</v>
      </c>
      <c r="L986" t="s">
        <v>45</v>
      </c>
      <c r="M986">
        <v>4</v>
      </c>
      <c r="N986" s="6"/>
    </row>
    <row r="987" spans="11:14" x14ac:dyDescent="0.25">
      <c r="K987">
        <v>981</v>
      </c>
      <c r="L987" t="s">
        <v>53</v>
      </c>
      <c r="M987">
        <v>5</v>
      </c>
      <c r="N987" s="6"/>
    </row>
    <row r="988" spans="11:14" x14ac:dyDescent="0.25">
      <c r="K988">
        <v>982</v>
      </c>
      <c r="L988" t="s">
        <v>45</v>
      </c>
      <c r="M988">
        <v>2</v>
      </c>
      <c r="N988" s="6"/>
    </row>
    <row r="989" spans="11:14" x14ac:dyDescent="0.25">
      <c r="K989">
        <v>983</v>
      </c>
      <c r="L989" t="s">
        <v>53</v>
      </c>
      <c r="M989">
        <v>10</v>
      </c>
      <c r="N989" s="6"/>
    </row>
    <row r="990" spans="11:14" x14ac:dyDescent="0.25">
      <c r="K990">
        <v>984</v>
      </c>
      <c r="L990" t="s">
        <v>53</v>
      </c>
      <c r="M990">
        <v>9</v>
      </c>
      <c r="N990" s="6"/>
    </row>
    <row r="991" spans="11:14" x14ac:dyDescent="0.25">
      <c r="K991">
        <v>985</v>
      </c>
      <c r="L991" t="s">
        <v>53</v>
      </c>
      <c r="M991">
        <v>7</v>
      </c>
      <c r="N991" s="6"/>
    </row>
    <row r="992" spans="11:14" x14ac:dyDescent="0.25">
      <c r="K992">
        <v>986</v>
      </c>
      <c r="L992" t="s">
        <v>45</v>
      </c>
      <c r="M992">
        <v>6</v>
      </c>
      <c r="N992" s="6"/>
    </row>
    <row r="993" spans="11:14" x14ac:dyDescent="0.25">
      <c r="K993">
        <v>987</v>
      </c>
      <c r="L993" t="s">
        <v>53</v>
      </c>
      <c r="M993">
        <v>4</v>
      </c>
      <c r="N993" s="6"/>
    </row>
    <row r="994" spans="11:14" x14ac:dyDescent="0.25">
      <c r="K994">
        <v>988</v>
      </c>
      <c r="L994" t="s">
        <v>53</v>
      </c>
      <c r="M994">
        <v>5</v>
      </c>
      <c r="N994" s="6"/>
    </row>
    <row r="995" spans="11:14" x14ac:dyDescent="0.25">
      <c r="K995">
        <v>989</v>
      </c>
      <c r="L995" t="s">
        <v>45</v>
      </c>
      <c r="M995">
        <v>11</v>
      </c>
      <c r="N995" s="6"/>
    </row>
    <row r="996" spans="11:14" x14ac:dyDescent="0.25">
      <c r="K996">
        <v>990</v>
      </c>
      <c r="L996" t="s">
        <v>45</v>
      </c>
      <c r="M996">
        <v>4</v>
      </c>
      <c r="N996" s="6"/>
    </row>
    <row r="997" spans="11:14" x14ac:dyDescent="0.25">
      <c r="K997">
        <v>991</v>
      </c>
      <c r="L997" t="s">
        <v>53</v>
      </c>
      <c r="M997">
        <v>7</v>
      </c>
      <c r="N997" s="6"/>
    </row>
    <row r="998" spans="11:14" x14ac:dyDescent="0.25">
      <c r="K998">
        <v>992</v>
      </c>
      <c r="L998" t="s">
        <v>53</v>
      </c>
      <c r="M998">
        <v>4</v>
      </c>
      <c r="N998" s="6"/>
    </row>
    <row r="999" spans="11:14" x14ac:dyDescent="0.25">
      <c r="K999">
        <v>993</v>
      </c>
      <c r="L999" t="s">
        <v>53</v>
      </c>
      <c r="M999">
        <v>9</v>
      </c>
      <c r="N999" s="6"/>
    </row>
    <row r="1000" spans="11:14" x14ac:dyDescent="0.25">
      <c r="K1000">
        <v>994</v>
      </c>
      <c r="L1000" t="s">
        <v>53</v>
      </c>
      <c r="M1000">
        <v>7</v>
      </c>
      <c r="N1000" s="6"/>
    </row>
    <row r="1001" spans="11:14" x14ac:dyDescent="0.25">
      <c r="K1001">
        <v>995</v>
      </c>
      <c r="L1001" t="s">
        <v>45</v>
      </c>
      <c r="M1001">
        <v>8</v>
      </c>
      <c r="N1001" s="6"/>
    </row>
    <row r="1002" spans="11:14" x14ac:dyDescent="0.25">
      <c r="K1002">
        <v>996</v>
      </c>
      <c r="L1002" t="s">
        <v>53</v>
      </c>
      <c r="M1002">
        <v>7</v>
      </c>
      <c r="N1002" s="6"/>
    </row>
    <row r="1003" spans="11:14" x14ac:dyDescent="0.25">
      <c r="K1003">
        <v>997</v>
      </c>
      <c r="L1003" t="s">
        <v>53</v>
      </c>
      <c r="M1003">
        <v>7</v>
      </c>
      <c r="N1003" s="6"/>
    </row>
    <row r="1004" spans="11:14" x14ac:dyDescent="0.25">
      <c r="K1004">
        <v>998</v>
      </c>
      <c r="L1004" t="s">
        <v>53</v>
      </c>
      <c r="M1004">
        <v>9</v>
      </c>
      <c r="N1004" s="6"/>
    </row>
    <row r="1005" spans="11:14" x14ac:dyDescent="0.25">
      <c r="K1005">
        <v>999</v>
      </c>
      <c r="L1005" t="s">
        <v>45</v>
      </c>
      <c r="M1005">
        <v>3</v>
      </c>
      <c r="N1005" s="6"/>
    </row>
    <row r="1006" spans="11:14" x14ac:dyDescent="0.25">
      <c r="K1006">
        <v>1000</v>
      </c>
      <c r="L1006" t="s">
        <v>45</v>
      </c>
      <c r="M1006">
        <v>6</v>
      </c>
      <c r="N1006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Simulations">
                <anchor moveWithCells="1" sizeWithCells="1">
                  <from>
                    <xdr:col>5</xdr:col>
                    <xdr:colOff>457200</xdr:colOff>
                    <xdr:row>4</xdr:row>
                    <xdr:rowOff>152400</xdr:rowOff>
                  </from>
                  <to>
                    <xdr:col>9</xdr:col>
                    <xdr:colOff>76200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5" baseType="lpstr">
      <vt:lpstr>Ruleset Tester</vt:lpstr>
      <vt:lpstr>Data</vt:lpstr>
      <vt:lpstr>ComeOutRule11</vt:lpstr>
      <vt:lpstr>ComeOutRule12</vt:lpstr>
      <vt:lpstr>ComeOutRule2</vt:lpstr>
      <vt:lpstr>ComeOutRule3</vt:lpstr>
      <vt:lpstr>ComeOutRule7</vt:lpstr>
      <vt:lpstr>HistoryTableAmountFilled</vt:lpstr>
      <vt:lpstr>HouseWins</vt:lpstr>
      <vt:lpstr>LinesPrinted</vt:lpstr>
      <vt:lpstr>LogAmount</vt:lpstr>
      <vt:lpstr>Repetitions</vt:lpstr>
      <vt:lpstr>RulesetIsInList</vt:lpstr>
      <vt:lpstr>RulesetNameInputBox</vt:lpstr>
      <vt:lpstr>RulesetNames</vt:lpstr>
      <vt:lpstr>RulesetRowIndex</vt:lpstr>
      <vt:lpstr>SubsequentRule11</vt:lpstr>
      <vt:lpstr>SubsequentRule12</vt:lpstr>
      <vt:lpstr>SubsequentRule2</vt:lpstr>
      <vt:lpstr>SubsequentRule3</vt:lpstr>
      <vt:lpstr>SubsequentRule7</vt:lpstr>
      <vt:lpstr>UserInputOdds</vt:lpstr>
      <vt:lpstr>UserInputRepetitions</vt:lpstr>
      <vt:lpstr>UserInputRepititions</vt:lpstr>
      <vt:lpstr>WinLosePush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Jonathon Leach</dc:creator>
  <cp:lastModifiedBy>Matthew Ramos</cp:lastModifiedBy>
  <dcterms:created xsi:type="dcterms:W3CDTF">2023-07-10T23:28:07Z</dcterms:created>
  <dcterms:modified xsi:type="dcterms:W3CDTF">2023-08-29T12:32:16Z</dcterms:modified>
</cp:coreProperties>
</file>